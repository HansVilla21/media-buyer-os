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P&amp;L" sheetId="1" r:id="rId5"/>
    <sheet state="visible" name="Weekly P&amp;L" sheetId="2" r:id="rId6"/>
  </sheets>
  <definedNames/>
  <calcPr/>
</workbook>
</file>

<file path=xl/sharedStrings.xml><?xml version="1.0" encoding="utf-8"?>
<sst xmlns="http://schemas.openxmlformats.org/spreadsheetml/2006/main" count="142" uniqueCount="60">
  <si>
    <t>DATE</t>
  </si>
  <si>
    <t>UNIQUE CLICKS</t>
  </si>
  <si>
    <t>COST PER CLICK</t>
  </si>
  <si>
    <t>MESSAGES</t>
  </si>
  <si>
    <t>COST PER MESSAGE</t>
  </si>
  <si>
    <t>REVENUE PER MESSAGE</t>
  </si>
  <si>
    <t>OPTINS</t>
  </si>
  <si>
    <t>COST PER OPTIN</t>
  </si>
  <si>
    <t>REVENUE PER OPTIN</t>
  </si>
  <si>
    <t>BOOKED CALLS</t>
  </si>
  <si>
    <t>COST PER BOOKED CALL</t>
  </si>
  <si>
    <t>REVENUE PER BOOKED CALL</t>
  </si>
  <si>
    <t>SALES</t>
  </si>
  <si>
    <t>COST PER SALE</t>
  </si>
  <si>
    <t>META AD SPEND</t>
  </si>
  <si>
    <t>TOTAL ADSPEND</t>
  </si>
  <si>
    <t>REVENUE</t>
  </si>
  <si>
    <t>STRIPE FEES</t>
  </si>
  <si>
    <t>REFUNDS</t>
  </si>
  <si>
    <t>PROFIT</t>
  </si>
  <si>
    <t>ROI</t>
  </si>
  <si>
    <t>TOTAL</t>
  </si>
  <si>
    <t>Metric</t>
  </si>
  <si>
    <t>Data</t>
  </si>
  <si>
    <t>Adspend</t>
  </si>
  <si>
    <t>Revenue</t>
  </si>
  <si>
    <t>Messages</t>
  </si>
  <si>
    <t>Cost Per Message</t>
  </si>
  <si>
    <t>Revenue Per Message</t>
  </si>
  <si>
    <t>Optins</t>
  </si>
  <si>
    <t>Cost Per Optin</t>
  </si>
  <si>
    <t>Revenue Per Optin</t>
  </si>
  <si>
    <t>Calls</t>
  </si>
  <si>
    <t>Cost Per Booked Call</t>
  </si>
  <si>
    <t>Revenue Per Call</t>
  </si>
  <si>
    <t>Sales</t>
  </si>
  <si>
    <t>Cost Per Sale</t>
  </si>
  <si>
    <t>Affiliate Commissions</t>
  </si>
  <si>
    <t>Stripe Fees</t>
  </si>
  <si>
    <t>Refunds</t>
  </si>
  <si>
    <t>Profit</t>
  </si>
  <si>
    <t>Funnel ROI</t>
  </si>
  <si>
    <t>Lead To Client Conversion Rate</t>
  </si>
  <si>
    <t>OPTIN</t>
  </si>
  <si>
    <t>REVENUE PER CALL</t>
  </si>
  <si>
    <t>Sept 1 - 8</t>
  </si>
  <si>
    <t>Sept 9 - 15</t>
  </si>
  <si>
    <t>Sept 16 - 22</t>
  </si>
  <si>
    <t>Sept 23 - 30</t>
  </si>
  <si>
    <t>LEADS (OPTIN / DM)</t>
  </si>
  <si>
    <t>COST PER LEAD</t>
  </si>
  <si>
    <t>REVENUE PER LEAD</t>
  </si>
  <si>
    <t>October 1 - 8</t>
  </si>
  <si>
    <t>October 9 - 15</t>
  </si>
  <si>
    <t>October 16 - 22</t>
  </si>
  <si>
    <t>October 23 - 30</t>
  </si>
  <si>
    <t>November 1 - 8</t>
  </si>
  <si>
    <t>November 9 - 15</t>
  </si>
  <si>
    <t>November 16 - 22</t>
  </si>
  <si>
    <t>November 23 - 30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</si>
</sst>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&quot;$&quot;#,##0.00"/>
    <numFmt numFmtId="166" formatCode="&quot;$&quot;#,##0"/>
  </numFmts>
  <fonts count="19">
    <font>
      <sz val="10.0"/>
      <color rgb="FF000000"/>
      <name val="Arial"/>
      <scheme val="minor"/>
    </font>
    <font>
      <b/>
      <color rgb="FFFFFFFF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rgb="FF741B47"/>
      <name val="Arial"/>
    </font>
    <font>
      <sz val="9.0"/>
      <color rgb="FF351C75"/>
      <name val="Arial"/>
    </font>
    <font>
      <sz val="9.0"/>
      <color rgb="FF9900FF"/>
      <name val="Arial"/>
    </font>
    <font>
      <sz val="9.0"/>
      <color rgb="FF0000FF"/>
      <name val="Arial"/>
    </font>
    <font>
      <sz val="9.0"/>
      <color rgb="FFCC0000"/>
      <name val="Arial"/>
    </font>
    <font>
      <sz val="9.0"/>
      <color rgb="FF4A86E8"/>
      <name val="Arial"/>
    </font>
    <font>
      <sz val="9.0"/>
      <color rgb="FFB45F06"/>
      <name val="Arial"/>
    </font>
    <font>
      <sz val="9.0"/>
      <color rgb="FF00A200"/>
      <name val="Arial"/>
    </font>
    <font>
      <sz val="9.0"/>
      <color rgb="FF990000"/>
      <name val="Arial"/>
    </font>
    <font>
      <sz val="9.0"/>
      <color theme="1"/>
      <name val="Arial"/>
    </font>
    <font>
      <b/>
      <sz val="12.0"/>
      <color rgb="FFFFFFFF"/>
      <name val="Arial"/>
    </font>
    <font>
      <sz val="12.0"/>
      <color rgb="FFFF0000"/>
      <name val="Arial"/>
    </font>
    <font>
      <b/>
      <color theme="1"/>
      <name val="Arial"/>
    </font>
    <font>
      <color theme="1"/>
      <name val="Arial"/>
    </font>
    <font>
      <sz val="9.0"/>
      <color rgb="FF20124D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741B47"/>
        <bgColor rgb="FF741B47"/>
      </patternFill>
    </fill>
    <fill>
      <patternFill patternType="solid">
        <fgColor rgb="FF85200C"/>
        <bgColor rgb="FF85200C"/>
      </patternFill>
    </fill>
    <fill>
      <patternFill patternType="solid">
        <fgColor rgb="FF351C75"/>
        <bgColor rgb="FF351C75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00A200"/>
        <bgColor rgb="FF00A200"/>
      </patternFill>
    </fill>
    <fill>
      <patternFill patternType="solid">
        <fgColor rgb="FFB7B7B7"/>
        <bgColor rgb="FFB7B7B7"/>
      </patternFill>
    </fill>
  </fills>
  <borders count="7">
    <border/>
    <border>
      <right style="thin">
        <color rgb="FFFFFFFF"/>
      </right>
      <top style="thin">
        <color rgb="FFFFFFFF"/>
      </top>
    </border>
    <border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1" fillId="6" fontId="2" numFmtId="0" xfId="0" applyAlignment="1" applyBorder="1" applyFill="1" applyFont="1">
      <alignment horizontal="center" readingOrder="0" vertical="bottom"/>
    </xf>
    <xf borderId="1" fillId="7" fontId="2" numFmtId="0" xfId="0" applyAlignment="1" applyBorder="1" applyFill="1" applyFont="1">
      <alignment horizontal="center" readingOrder="0" vertical="bottom"/>
    </xf>
    <xf borderId="1" fillId="8" fontId="1" numFmtId="0" xfId="0" applyAlignment="1" applyBorder="1" applyFill="1" applyFont="1">
      <alignment horizontal="center" readingOrder="0" vertical="bottom"/>
    </xf>
    <xf borderId="2" fillId="8" fontId="1" numFmtId="0" xfId="0" applyAlignment="1" applyBorder="1" applyFill="1" applyFont="1">
      <alignment horizontal="center" readingOrder="0" vertical="bottom"/>
    </xf>
    <xf borderId="3" fillId="9" fontId="2" numFmtId="0" xfId="0" applyAlignment="1" applyBorder="1" applyFill="1" applyFont="1">
      <alignment horizontal="center" readingOrder="0" vertical="bottom"/>
    </xf>
    <xf borderId="4" fillId="10" fontId="2" numFmtId="0" xfId="0" applyAlignment="1" applyBorder="1" applyFill="1" applyFont="1">
      <alignment horizontal="center" readingOrder="0" vertical="bottom"/>
    </xf>
    <xf borderId="1" fillId="11" fontId="2" numFmtId="0" xfId="0" applyAlignment="1" applyBorder="1" applyFill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1" fillId="8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7" fontId="2" numFmtId="0" xfId="0" applyAlignment="1" applyBorder="1" applyFill="1" applyFont="1">
      <alignment horizontal="center" vertical="bottom"/>
    </xf>
    <xf borderId="5" fillId="12" fontId="3" numFmtId="164" xfId="0" applyAlignment="1" applyBorder="1" applyFill="1" applyFont="1" applyNumberFormat="1">
      <alignment horizontal="right" readingOrder="0" vertical="bottom"/>
    </xf>
    <xf borderId="5" fillId="12" fontId="4" numFmtId="0" xfId="0" applyAlignment="1" applyBorder="1" applyFill="1" applyFont="1">
      <alignment horizontal="center" readingOrder="0" vertical="bottom"/>
    </xf>
    <xf borderId="5" fillId="12" fontId="4" numFmtId="165" xfId="0" applyAlignment="1" applyBorder="1" applyFill="1" applyFont="1" applyNumberFormat="1">
      <alignment horizontal="center" vertical="bottom"/>
    </xf>
    <xf borderId="5" fillId="12" fontId="5" numFmtId="0" xfId="0" applyAlignment="1" applyBorder="1" applyFill="1" applyFont="1">
      <alignment horizontal="center" readingOrder="0" vertical="bottom"/>
    </xf>
    <xf borderId="5" fillId="12" fontId="5" numFmtId="165" xfId="0" applyAlignment="1" applyBorder="1" applyFill="1" applyFont="1" applyNumberFormat="1">
      <alignment horizontal="center" vertical="bottom"/>
    </xf>
    <xf borderId="5" fillId="12" fontId="6" numFmtId="0" xfId="0" applyAlignment="1" applyBorder="1" applyFill="1" applyFont="1">
      <alignment horizontal="center" readingOrder="0" vertical="bottom"/>
    </xf>
    <xf borderId="5" fillId="12" fontId="6" numFmtId="165" xfId="0" applyAlignment="1" applyBorder="1" applyFill="1" applyFont="1" applyNumberFormat="1">
      <alignment horizontal="center" vertical="bottom"/>
    </xf>
    <xf borderId="5" fillId="12" fontId="7" numFmtId="0" xfId="0" applyAlignment="1" applyBorder="1" applyFill="1" applyFont="1">
      <alignment horizontal="center" readingOrder="0" vertical="bottom"/>
    </xf>
    <xf borderId="5" fillId="12" fontId="7" numFmtId="165" xfId="0" applyAlignment="1" applyBorder="1" applyFill="1" applyFont="1" applyNumberFormat="1">
      <alignment horizontal="center" vertical="bottom"/>
    </xf>
    <xf borderId="5" fillId="12" fontId="8" numFmtId="0" xfId="0" applyAlignment="1" applyBorder="1" applyFill="1" applyFont="1">
      <alignment horizontal="center" readingOrder="0" vertical="bottom"/>
    </xf>
    <xf borderId="5" fillId="12" fontId="8" numFmtId="165" xfId="0" applyAlignment="1" applyBorder="1" applyFill="1" applyFont="1" applyNumberFormat="1">
      <alignment horizontal="center" vertical="bottom"/>
    </xf>
    <xf borderId="5" fillId="12" fontId="9" numFmtId="165" xfId="0" applyAlignment="1" applyBorder="1" applyFill="1" applyFont="1" applyNumberFormat="1">
      <alignment horizontal="center" readingOrder="0" vertical="bottom"/>
    </xf>
    <xf borderId="5" fillId="12" fontId="10" numFmtId="165" xfId="0" applyAlignment="1" applyBorder="1" applyFill="1" applyFont="1" applyNumberFormat="1">
      <alignment horizontal="center" vertical="bottom"/>
    </xf>
    <xf borderId="5" fillId="12" fontId="11" numFmtId="165" xfId="0" applyAlignment="1" applyBorder="1" applyFill="1" applyFont="1" applyNumberFormat="1">
      <alignment horizontal="center" readingOrder="0" vertical="bottom"/>
    </xf>
    <xf borderId="5" fillId="12" fontId="12" numFmtId="165" xfId="0" applyAlignment="1" applyBorder="1" applyFill="1" applyFont="1" applyNumberFormat="1">
      <alignment horizontal="center" vertical="bottom"/>
    </xf>
    <xf borderId="5" fillId="12" fontId="13" numFmtId="165" xfId="0" applyAlignment="1" applyBorder="1" applyFill="1" applyFont="1" applyNumberFormat="1">
      <alignment horizontal="center" vertical="bottom"/>
    </xf>
    <xf borderId="5" fillId="12" fontId="7" numFmtId="10" xfId="0" applyAlignment="1" applyBorder="1" applyFill="1" applyFont="1" applyNumberFormat="1">
      <alignment horizontal="center" vertical="bottom"/>
    </xf>
    <xf borderId="5" fillId="12" fontId="8" numFmtId="0" xfId="0" applyAlignment="1" applyBorder="1" applyFill="1" applyFont="1">
      <alignment horizontal="center" vertical="bottom"/>
    </xf>
    <xf borderId="5" fillId="12" fontId="11" numFmtId="165" xfId="0" applyAlignment="1" applyBorder="1" applyFill="1" applyFont="1" applyNumberFormat="1">
      <alignment horizontal="center" vertical="bottom"/>
    </xf>
    <xf borderId="5" fillId="12" fontId="7" numFmtId="0" xfId="0" applyAlignment="1" applyBorder="1" applyFill="1" applyFont="1">
      <alignment horizontal="center" vertical="bottom"/>
    </xf>
    <xf borderId="5" fillId="12" fontId="4" numFmtId="0" xfId="0" applyAlignment="1" applyBorder="1" applyFill="1" applyFont="1">
      <alignment horizontal="center" vertical="bottom"/>
    </xf>
    <xf borderId="5" fillId="12" fontId="5" numFmtId="0" xfId="0" applyAlignment="1" applyBorder="1" applyFill="1" applyFont="1">
      <alignment horizontal="center" vertical="bottom"/>
    </xf>
    <xf borderId="5" fillId="12" fontId="6" numFmtId="0" xfId="0" applyAlignment="1" applyBorder="1" applyFill="1" applyFont="1">
      <alignment horizontal="center" vertical="bottom"/>
    </xf>
    <xf borderId="5" fillId="12" fontId="9" numFmtId="165" xfId="0" applyAlignment="1" applyBorder="1" applyFill="1" applyFont="1" applyNumberFormat="1">
      <alignment horizontal="center" vertical="bottom"/>
    </xf>
    <xf borderId="0" fillId="2" fontId="1" numFmtId="0" xfId="0" applyAlignment="1" applyFill="1" applyFont="1">
      <alignment horizontal="right" vertical="bottom"/>
    </xf>
    <xf borderId="0" fillId="3" fontId="14" numFmtId="0" xfId="0" applyAlignment="1" applyFill="1" applyFont="1">
      <alignment horizontal="center" vertical="bottom"/>
    </xf>
    <xf borderId="0" fillId="5" fontId="14" numFmtId="0" xfId="0" applyAlignment="1" applyFill="1" applyFont="1">
      <alignment horizontal="center" vertical="bottom"/>
    </xf>
    <xf borderId="0" fillId="6" fontId="14" numFmtId="0" xfId="0" applyAlignment="1" applyFill="1" applyFont="1">
      <alignment horizontal="center" vertical="bottom"/>
    </xf>
    <xf borderId="0" fillId="6" fontId="14" numFmtId="165" xfId="0" applyAlignment="1" applyFill="1" applyFont="1" applyNumberFormat="1">
      <alignment horizontal="center" vertical="bottom"/>
    </xf>
    <xf borderId="0" fillId="7" fontId="14" numFmtId="0" xfId="0" applyAlignment="1" applyFill="1" applyFont="1">
      <alignment horizontal="center" vertical="bottom"/>
    </xf>
    <xf borderId="0" fillId="8" fontId="14" numFmtId="0" xfId="0" applyAlignment="1" applyFill="1" applyFont="1">
      <alignment horizontal="center" vertical="bottom"/>
    </xf>
    <xf borderId="0" fillId="9" fontId="14" numFmtId="165" xfId="0" applyAlignment="1" applyFill="1" applyFont="1" applyNumberFormat="1">
      <alignment horizontal="center" vertical="bottom"/>
    </xf>
    <xf borderId="0" fillId="10" fontId="14" numFmtId="165" xfId="0" applyAlignment="1" applyFill="1" applyFont="1" applyNumberFormat="1">
      <alignment horizontal="center" vertical="bottom"/>
    </xf>
    <xf borderId="0" fillId="11" fontId="14" numFmtId="165" xfId="0" applyAlignment="1" applyFill="1" applyFont="1" applyNumberFormat="1">
      <alignment horizontal="center" vertical="bottom"/>
    </xf>
    <xf borderId="0" fillId="4" fontId="14" numFmtId="165" xfId="0" applyAlignment="1" applyFill="1" applyFont="1" applyNumberFormat="1">
      <alignment horizontal="center" vertical="bottom"/>
    </xf>
    <xf borderId="0" fillId="8" fontId="14" numFmtId="165" xfId="0" applyAlignment="1" applyFill="1" applyFont="1" applyNumberFormat="1">
      <alignment horizontal="center" vertical="bottom"/>
    </xf>
    <xf borderId="0" fillId="2" fontId="15" numFmtId="165" xfId="0" applyAlignment="1" applyFill="1" applyFont="1" applyNumberFormat="1">
      <alignment horizontal="center" vertical="bottom"/>
    </xf>
    <xf borderId="0" fillId="7" fontId="14" numFmtId="10" xfId="0" applyAlignment="1" applyFill="1" applyFont="1" applyNumberFormat="1">
      <alignment horizontal="center" vertical="bottom"/>
    </xf>
    <xf borderId="0" fillId="2" fontId="1" numFmtId="0" xfId="0" applyAlignment="1" applyFill="1" applyFont="1">
      <alignment vertical="bottom"/>
    </xf>
    <xf borderId="6" fillId="0" fontId="16" numFmtId="0" xfId="0" applyAlignment="1" applyBorder="1" applyFont="1">
      <alignment vertical="bottom"/>
    </xf>
    <xf borderId="6" fillId="0" fontId="17" numFmtId="165" xfId="0" applyAlignment="1" applyBorder="1" applyFont="1" applyNumberFormat="1">
      <alignment horizontal="right" vertical="bottom"/>
    </xf>
    <xf borderId="6" fillId="0" fontId="17" numFmtId="166" xfId="0" applyAlignment="1" applyBorder="1" applyFont="1" applyNumberFormat="1">
      <alignment horizontal="right" vertical="bottom"/>
    </xf>
    <xf borderId="6" fillId="0" fontId="16" numFmtId="0" xfId="0" applyAlignment="1" applyBorder="1" applyFont="1">
      <alignment readingOrder="0" vertical="bottom"/>
    </xf>
    <xf borderId="6" fillId="0" fontId="17" numFmtId="0" xfId="0" applyAlignment="1" applyBorder="1" applyFont="1">
      <alignment horizontal="right" vertical="bottom"/>
    </xf>
    <xf borderId="6" fillId="0" fontId="17" numFmtId="165" xfId="0" applyAlignment="1" applyBorder="1" applyFont="1" applyNumberFormat="1">
      <alignment horizontal="right" readingOrder="0" vertical="bottom"/>
    </xf>
    <xf borderId="6" fillId="0" fontId="17" numFmtId="10" xfId="0" applyAlignment="1" applyBorder="1" applyFont="1" applyNumberFormat="1">
      <alignment horizontal="right" vertical="bottom"/>
    </xf>
    <xf borderId="5" fillId="12" fontId="3" numFmtId="0" xfId="0" applyAlignment="1" applyBorder="1" applyFill="1" applyFont="1">
      <alignment horizontal="right" readingOrder="0" vertical="bottom"/>
    </xf>
    <xf borderId="5" fillId="12" fontId="18" numFmtId="0" xfId="0" applyAlignment="1" applyBorder="1" applyFill="1" applyFont="1">
      <alignment horizontal="center" readingOrder="0" vertical="bottom"/>
    </xf>
    <xf borderId="5" fillId="12" fontId="18" numFmtId="165" xfId="0" applyAlignment="1" applyBorder="1" applyFill="1" applyFont="1" applyNumberFormat="1">
      <alignment horizontal="center" vertical="bottom"/>
    </xf>
    <xf borderId="5" fillId="12" fontId="6" numFmtId="165" xfId="0" applyAlignment="1" applyBorder="1" applyFill="1" applyFont="1" applyNumberFormat="1">
      <alignment horizontal="center" readingOrder="0" vertical="bottom"/>
    </xf>
    <xf borderId="5" fillId="12" fontId="7" numFmtId="166" xfId="0" applyAlignment="1" applyBorder="1" applyFill="1" applyFont="1" applyNumberFormat="1">
      <alignment horizontal="center" readingOrder="0" vertical="bottom"/>
    </xf>
    <xf borderId="0" fillId="3" fontId="14" numFmtId="165" xfId="0" applyAlignment="1" applyFill="1" applyFont="1" applyNumberFormat="1">
      <alignment horizontal="center" vertical="bottom"/>
    </xf>
    <xf borderId="0" fillId="5" fontId="14" numFmtId="165" xfId="0" applyAlignment="1" applyFill="1" applyFont="1" applyNumberFormat="1">
      <alignment horizontal="center" vertical="bottom"/>
    </xf>
    <xf borderId="0" fillId="7" fontId="14" numFmtId="165" xfId="0" applyAlignment="1" applyFill="1" applyFont="1" applyNumberFormat="1">
      <alignment horizontal="center" vertical="bottom"/>
    </xf>
    <xf borderId="0" fillId="7" fontId="14" numFmtId="166" xfId="0" applyAlignment="1" applyFill="1" applyFont="1" applyNumberFormat="1">
      <alignment horizontal="center" vertical="bottom"/>
    </xf>
    <xf borderId="1" fillId="6" fontId="2" numFmtId="0" xfId="0" applyAlignment="1" applyBorder="1" applyFill="1" applyFont="1">
      <alignment horizontal="center" vertical="bottom"/>
    </xf>
    <xf borderId="6" fillId="0" fontId="17" numFmtId="4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4.13"/>
    <col customWidth="1" min="3" max="4" width="15.13"/>
    <col customWidth="1" min="5" max="5" width="18.38"/>
    <col customWidth="1" min="6" max="6" width="21.75"/>
    <col customWidth="1" min="7" max="7" width="17.38"/>
    <col customWidth="1" min="8" max="8" width="13.63"/>
    <col customWidth="1" min="9" max="9" width="16.75"/>
    <col customWidth="1" min="10" max="10" width="17.38"/>
    <col customWidth="1" min="11" max="11" width="20.13"/>
    <col customWidth="1" min="12" max="12" width="23.13"/>
    <col customWidth="1" min="13" max="13" width="12.5"/>
    <col customWidth="1" min="14" max="14" width="14.38"/>
    <col customWidth="1" min="15" max="16" width="17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14" t="s">
        <v>19</v>
      </c>
      <c r="U1" s="15" t="s">
        <v>20</v>
      </c>
    </row>
    <row r="2">
      <c r="A2" s="16">
        <v>45536.0</v>
      </c>
      <c r="B2" s="17">
        <v>100.0</v>
      </c>
      <c r="C2" s="18">
        <f t="shared" ref="C2:C31" si="1">O2/B2</f>
        <v>1</v>
      </c>
      <c r="D2" s="19">
        <v>52.0</v>
      </c>
      <c r="E2" s="20">
        <f t="shared" ref="E2:E31" si="2">P2/D2</f>
        <v>1.923076923</v>
      </c>
      <c r="F2" s="20">
        <f t="shared" ref="F2:F31" si="3">Q2/D2</f>
        <v>38.46153846</v>
      </c>
      <c r="G2" s="21">
        <v>50.0</v>
      </c>
      <c r="H2" s="22">
        <f t="shared" ref="H2:H31" si="4">O2/G2</f>
        <v>2</v>
      </c>
      <c r="I2" s="22">
        <f t="shared" ref="I2:I31" si="5">Q2/G2</f>
        <v>40</v>
      </c>
      <c r="J2" s="23">
        <v>2.0</v>
      </c>
      <c r="K2" s="24">
        <f t="shared" ref="K2:K31" si="6">O2/J2</f>
        <v>50</v>
      </c>
      <c r="L2" s="24">
        <f t="shared" ref="L2:L31" si="7">Q2/J2</f>
        <v>1000</v>
      </c>
      <c r="M2" s="25">
        <v>1.0</v>
      </c>
      <c r="N2" s="26">
        <f t="shared" ref="N2:N31" si="8">O2/M2</f>
        <v>100</v>
      </c>
      <c r="O2" s="27">
        <v>100.0</v>
      </c>
      <c r="P2" s="28">
        <f t="shared" ref="P2:P31" si="9">O2</f>
        <v>100</v>
      </c>
      <c r="Q2" s="29">
        <v>2000.0</v>
      </c>
      <c r="R2" s="30">
        <f t="shared" ref="R2:R31" si="10">Q2*0.039</f>
        <v>78</v>
      </c>
      <c r="S2" s="26">
        <v>0.0</v>
      </c>
      <c r="T2" s="31">
        <f t="shared" ref="T2:T31" si="11">Q2-P2-R2</f>
        <v>1822</v>
      </c>
      <c r="U2" s="32">
        <f t="shared" ref="U2:U31" si="12">(Q2-O2)/(O2)</f>
        <v>19</v>
      </c>
    </row>
    <row r="3">
      <c r="A3" s="16">
        <v>45537.0</v>
      </c>
      <c r="B3" s="17">
        <v>120.0</v>
      </c>
      <c r="C3" s="18">
        <f t="shared" si="1"/>
        <v>0.9166666667</v>
      </c>
      <c r="D3" s="19">
        <v>48.0</v>
      </c>
      <c r="E3" s="20">
        <f t="shared" si="2"/>
        <v>2.291666667</v>
      </c>
      <c r="F3" s="20">
        <f t="shared" si="3"/>
        <v>0</v>
      </c>
      <c r="G3" s="21">
        <v>45.0</v>
      </c>
      <c r="H3" s="22">
        <f t="shared" si="4"/>
        <v>2.444444444</v>
      </c>
      <c r="I3" s="22">
        <f t="shared" si="5"/>
        <v>0</v>
      </c>
      <c r="J3" s="23">
        <v>5.0</v>
      </c>
      <c r="K3" s="24">
        <f t="shared" si="6"/>
        <v>22</v>
      </c>
      <c r="L3" s="24">
        <f t="shared" si="7"/>
        <v>0</v>
      </c>
      <c r="M3" s="33">
        <v>0.0</v>
      </c>
      <c r="N3" s="33" t="str">
        <f t="shared" si="8"/>
        <v>#DIV/0!</v>
      </c>
      <c r="O3" s="27">
        <v>110.0</v>
      </c>
      <c r="P3" s="28">
        <f t="shared" si="9"/>
        <v>110</v>
      </c>
      <c r="Q3" s="34">
        <v>0.0</v>
      </c>
      <c r="R3" s="30">
        <f t="shared" si="10"/>
        <v>0</v>
      </c>
      <c r="S3" s="26">
        <v>0.0</v>
      </c>
      <c r="T3" s="31">
        <f t="shared" si="11"/>
        <v>-110</v>
      </c>
      <c r="U3" s="32">
        <f t="shared" si="12"/>
        <v>-1</v>
      </c>
    </row>
    <row r="4">
      <c r="A4" s="16">
        <v>45538.0</v>
      </c>
      <c r="B4" s="17">
        <v>110.0</v>
      </c>
      <c r="C4" s="18">
        <f t="shared" si="1"/>
        <v>0.9545454545</v>
      </c>
      <c r="D4" s="19">
        <v>43.0</v>
      </c>
      <c r="E4" s="20">
        <f t="shared" si="2"/>
        <v>2.441860465</v>
      </c>
      <c r="F4" s="20">
        <f t="shared" si="3"/>
        <v>0</v>
      </c>
      <c r="G4" s="21">
        <v>62.0</v>
      </c>
      <c r="H4" s="22">
        <f t="shared" si="4"/>
        <v>1.693548387</v>
      </c>
      <c r="I4" s="22">
        <f t="shared" si="5"/>
        <v>0</v>
      </c>
      <c r="J4" s="23">
        <v>2.0</v>
      </c>
      <c r="K4" s="24">
        <f t="shared" si="6"/>
        <v>52.5</v>
      </c>
      <c r="L4" s="24">
        <f t="shared" si="7"/>
        <v>0</v>
      </c>
      <c r="M4" s="25">
        <v>0.0</v>
      </c>
      <c r="N4" s="33" t="str">
        <f t="shared" si="8"/>
        <v>#DIV/0!</v>
      </c>
      <c r="O4" s="27">
        <v>105.0</v>
      </c>
      <c r="P4" s="28">
        <f t="shared" si="9"/>
        <v>105</v>
      </c>
      <c r="Q4" s="34">
        <v>0.0</v>
      </c>
      <c r="R4" s="30">
        <f t="shared" si="10"/>
        <v>0</v>
      </c>
      <c r="S4" s="26">
        <v>0.0</v>
      </c>
      <c r="T4" s="31">
        <f t="shared" si="11"/>
        <v>-105</v>
      </c>
      <c r="U4" s="32">
        <f t="shared" si="12"/>
        <v>-1</v>
      </c>
    </row>
    <row r="5">
      <c r="A5" s="16">
        <v>45539.0</v>
      </c>
      <c r="B5" s="17">
        <v>140.0</v>
      </c>
      <c r="C5" s="18">
        <f t="shared" si="1"/>
        <v>0.7142857143</v>
      </c>
      <c r="D5" s="19">
        <v>46.0</v>
      </c>
      <c r="E5" s="20">
        <f t="shared" si="2"/>
        <v>2.173913043</v>
      </c>
      <c r="F5" s="20">
        <f t="shared" si="3"/>
        <v>43.47826087</v>
      </c>
      <c r="G5" s="21">
        <v>65.0</v>
      </c>
      <c r="H5" s="22">
        <f t="shared" si="4"/>
        <v>1.538461538</v>
      </c>
      <c r="I5" s="22">
        <f t="shared" si="5"/>
        <v>30.76923077</v>
      </c>
      <c r="J5" s="23">
        <v>3.0</v>
      </c>
      <c r="K5" s="24">
        <f t="shared" si="6"/>
        <v>33.33333333</v>
      </c>
      <c r="L5" s="24">
        <f t="shared" si="7"/>
        <v>666.6666667</v>
      </c>
      <c r="M5" s="25">
        <v>1.0</v>
      </c>
      <c r="N5" s="26">
        <f t="shared" si="8"/>
        <v>100</v>
      </c>
      <c r="O5" s="27">
        <v>100.0</v>
      </c>
      <c r="P5" s="28">
        <f t="shared" si="9"/>
        <v>100</v>
      </c>
      <c r="Q5" s="29">
        <v>2000.0</v>
      </c>
      <c r="R5" s="30">
        <f t="shared" si="10"/>
        <v>78</v>
      </c>
      <c r="S5" s="26">
        <v>0.0</v>
      </c>
      <c r="T5" s="31">
        <f t="shared" si="11"/>
        <v>1822</v>
      </c>
      <c r="U5" s="32">
        <f t="shared" si="12"/>
        <v>19</v>
      </c>
    </row>
    <row r="6">
      <c r="A6" s="16">
        <v>45540.0</v>
      </c>
      <c r="B6" s="17">
        <v>130.0</v>
      </c>
      <c r="C6" s="18">
        <f t="shared" si="1"/>
        <v>0.7692307692</v>
      </c>
      <c r="D6" s="19">
        <v>66.0</v>
      </c>
      <c r="E6" s="20">
        <f t="shared" si="2"/>
        <v>1.515151515</v>
      </c>
      <c r="F6" s="20">
        <f t="shared" si="3"/>
        <v>0</v>
      </c>
      <c r="G6" s="21">
        <v>45.0</v>
      </c>
      <c r="H6" s="22">
        <f t="shared" si="4"/>
        <v>2.222222222</v>
      </c>
      <c r="I6" s="22">
        <f t="shared" si="5"/>
        <v>0</v>
      </c>
      <c r="J6" s="23">
        <v>1.0</v>
      </c>
      <c r="K6" s="24">
        <f t="shared" si="6"/>
        <v>100</v>
      </c>
      <c r="L6" s="24">
        <f t="shared" si="7"/>
        <v>0</v>
      </c>
      <c r="M6" s="33">
        <v>0.0</v>
      </c>
      <c r="N6" s="33" t="str">
        <f t="shared" si="8"/>
        <v>#DIV/0!</v>
      </c>
      <c r="O6" s="27">
        <v>100.0</v>
      </c>
      <c r="P6" s="28">
        <f t="shared" si="9"/>
        <v>100</v>
      </c>
      <c r="Q6" s="34">
        <v>0.0</v>
      </c>
      <c r="R6" s="30">
        <f t="shared" si="10"/>
        <v>0</v>
      </c>
      <c r="S6" s="26">
        <v>0.0</v>
      </c>
      <c r="T6" s="31">
        <f t="shared" si="11"/>
        <v>-100</v>
      </c>
      <c r="U6" s="32">
        <f t="shared" si="12"/>
        <v>-1</v>
      </c>
    </row>
    <row r="7">
      <c r="A7" s="16">
        <v>45541.0</v>
      </c>
      <c r="B7" s="17">
        <v>160.0</v>
      </c>
      <c r="C7" s="18">
        <f t="shared" si="1"/>
        <v>0.9375</v>
      </c>
      <c r="D7" s="19">
        <v>32.0</v>
      </c>
      <c r="E7" s="20">
        <f t="shared" si="2"/>
        <v>4.6875</v>
      </c>
      <c r="F7" s="20">
        <f t="shared" si="3"/>
        <v>0</v>
      </c>
      <c r="G7" s="21">
        <v>80.0</v>
      </c>
      <c r="H7" s="22">
        <f t="shared" si="4"/>
        <v>1.875</v>
      </c>
      <c r="I7" s="22">
        <f t="shared" si="5"/>
        <v>0</v>
      </c>
      <c r="J7" s="23">
        <v>1.0</v>
      </c>
      <c r="K7" s="24">
        <f t="shared" si="6"/>
        <v>150</v>
      </c>
      <c r="L7" s="24">
        <f t="shared" si="7"/>
        <v>0</v>
      </c>
      <c r="M7" s="25">
        <v>1.0</v>
      </c>
      <c r="N7" s="26">
        <f t="shared" si="8"/>
        <v>150</v>
      </c>
      <c r="O7" s="27">
        <v>150.0</v>
      </c>
      <c r="P7" s="28">
        <f t="shared" si="9"/>
        <v>150</v>
      </c>
      <c r="Q7" s="34">
        <v>0.0</v>
      </c>
      <c r="R7" s="30">
        <f t="shared" si="10"/>
        <v>0</v>
      </c>
      <c r="S7" s="26">
        <v>0.0</v>
      </c>
      <c r="T7" s="31">
        <f t="shared" si="11"/>
        <v>-150</v>
      </c>
      <c r="U7" s="32">
        <f t="shared" si="12"/>
        <v>-1</v>
      </c>
    </row>
    <row r="8">
      <c r="A8" s="16">
        <v>45542.0</v>
      </c>
      <c r="B8" s="17">
        <v>165.0</v>
      </c>
      <c r="C8" s="18">
        <f t="shared" si="1"/>
        <v>0.9090909091</v>
      </c>
      <c r="D8" s="19">
        <v>55.0</v>
      </c>
      <c r="E8" s="20">
        <f t="shared" si="2"/>
        <v>2.727272727</v>
      </c>
      <c r="F8" s="20">
        <f t="shared" si="3"/>
        <v>36.36363636</v>
      </c>
      <c r="G8" s="21">
        <v>76.0</v>
      </c>
      <c r="H8" s="22">
        <f t="shared" si="4"/>
        <v>1.973684211</v>
      </c>
      <c r="I8" s="22">
        <f t="shared" si="5"/>
        <v>26.31578947</v>
      </c>
      <c r="J8" s="23">
        <v>3.0</v>
      </c>
      <c r="K8" s="24">
        <f t="shared" si="6"/>
        <v>50</v>
      </c>
      <c r="L8" s="24">
        <f t="shared" si="7"/>
        <v>666.6666667</v>
      </c>
      <c r="M8" s="25">
        <v>1.0</v>
      </c>
      <c r="N8" s="26">
        <f t="shared" si="8"/>
        <v>150</v>
      </c>
      <c r="O8" s="27">
        <v>150.0</v>
      </c>
      <c r="P8" s="28">
        <f t="shared" si="9"/>
        <v>150</v>
      </c>
      <c r="Q8" s="29">
        <v>2000.0</v>
      </c>
      <c r="R8" s="30">
        <f t="shared" si="10"/>
        <v>78</v>
      </c>
      <c r="S8" s="26">
        <v>0.0</v>
      </c>
      <c r="T8" s="31">
        <f t="shared" si="11"/>
        <v>1772</v>
      </c>
      <c r="U8" s="32">
        <f t="shared" si="12"/>
        <v>12.33333333</v>
      </c>
    </row>
    <row r="9">
      <c r="A9" s="16">
        <v>45543.0</v>
      </c>
      <c r="B9" s="17">
        <v>140.0</v>
      </c>
      <c r="C9" s="18">
        <f t="shared" si="1"/>
        <v>1.285714286</v>
      </c>
      <c r="D9" s="19">
        <v>32.0</v>
      </c>
      <c r="E9" s="20">
        <f t="shared" si="2"/>
        <v>5.625</v>
      </c>
      <c r="F9" s="20">
        <f t="shared" si="3"/>
        <v>0</v>
      </c>
      <c r="G9" s="21">
        <v>60.0</v>
      </c>
      <c r="H9" s="22">
        <f t="shared" si="4"/>
        <v>3</v>
      </c>
      <c r="I9" s="22">
        <f t="shared" si="5"/>
        <v>0</v>
      </c>
      <c r="J9" s="35">
        <v>0.0</v>
      </c>
      <c r="K9" s="35" t="str">
        <f t="shared" si="6"/>
        <v>#DIV/0!</v>
      </c>
      <c r="L9" s="35" t="str">
        <f t="shared" si="7"/>
        <v>#DIV/0!</v>
      </c>
      <c r="M9" s="33">
        <v>0.0</v>
      </c>
      <c r="N9" s="33" t="str">
        <f t="shared" si="8"/>
        <v>#DIV/0!</v>
      </c>
      <c r="O9" s="27">
        <v>180.0</v>
      </c>
      <c r="P9" s="28">
        <f t="shared" si="9"/>
        <v>180</v>
      </c>
      <c r="Q9" s="34">
        <v>0.0</v>
      </c>
      <c r="R9" s="30">
        <f t="shared" si="10"/>
        <v>0</v>
      </c>
      <c r="S9" s="26">
        <v>0.0</v>
      </c>
      <c r="T9" s="31">
        <f t="shared" si="11"/>
        <v>-180</v>
      </c>
      <c r="U9" s="32">
        <f t="shared" si="12"/>
        <v>-1</v>
      </c>
    </row>
    <row r="10">
      <c r="A10" s="16">
        <v>45544.0</v>
      </c>
      <c r="B10" s="17">
        <v>142.0</v>
      </c>
      <c r="C10" s="18">
        <f t="shared" si="1"/>
        <v>1.267605634</v>
      </c>
      <c r="D10" s="19">
        <v>86.0</v>
      </c>
      <c r="E10" s="20">
        <f t="shared" si="2"/>
        <v>2.093023256</v>
      </c>
      <c r="F10" s="20">
        <f t="shared" si="3"/>
        <v>0</v>
      </c>
      <c r="G10" s="21">
        <v>55.0</v>
      </c>
      <c r="H10" s="22">
        <f t="shared" si="4"/>
        <v>3.272727273</v>
      </c>
      <c r="I10" s="22">
        <f t="shared" si="5"/>
        <v>0</v>
      </c>
      <c r="J10" s="23">
        <v>2.0</v>
      </c>
      <c r="K10" s="24">
        <f t="shared" si="6"/>
        <v>90</v>
      </c>
      <c r="L10" s="24">
        <f t="shared" si="7"/>
        <v>0</v>
      </c>
      <c r="M10" s="33">
        <v>0.0</v>
      </c>
      <c r="N10" s="33" t="str">
        <f t="shared" si="8"/>
        <v>#DIV/0!</v>
      </c>
      <c r="O10" s="27">
        <v>180.0</v>
      </c>
      <c r="P10" s="28">
        <f t="shared" si="9"/>
        <v>180</v>
      </c>
      <c r="Q10" s="34">
        <v>0.0</v>
      </c>
      <c r="R10" s="30">
        <f t="shared" si="10"/>
        <v>0</v>
      </c>
      <c r="S10" s="26">
        <v>0.0</v>
      </c>
      <c r="T10" s="31">
        <f t="shared" si="11"/>
        <v>-180</v>
      </c>
      <c r="U10" s="32">
        <f t="shared" si="12"/>
        <v>-1</v>
      </c>
    </row>
    <row r="11">
      <c r="A11" s="16">
        <v>45545.0</v>
      </c>
      <c r="B11" s="17">
        <v>170.0</v>
      </c>
      <c r="C11" s="18">
        <f t="shared" si="1"/>
        <v>1.058823529</v>
      </c>
      <c r="D11" s="19">
        <v>62.0</v>
      </c>
      <c r="E11" s="20">
        <f t="shared" si="2"/>
        <v>2.903225806</v>
      </c>
      <c r="F11" s="20">
        <f t="shared" si="3"/>
        <v>16.12903226</v>
      </c>
      <c r="G11" s="21">
        <v>90.0</v>
      </c>
      <c r="H11" s="22">
        <f t="shared" si="4"/>
        <v>2</v>
      </c>
      <c r="I11" s="22">
        <f t="shared" si="5"/>
        <v>11.11111111</v>
      </c>
      <c r="J11" s="23">
        <v>3.0</v>
      </c>
      <c r="K11" s="24">
        <f t="shared" si="6"/>
        <v>60</v>
      </c>
      <c r="L11" s="24">
        <f t="shared" si="7"/>
        <v>333.3333333</v>
      </c>
      <c r="M11" s="25">
        <v>1.0</v>
      </c>
      <c r="N11" s="26">
        <f t="shared" si="8"/>
        <v>180</v>
      </c>
      <c r="O11" s="27">
        <v>180.0</v>
      </c>
      <c r="P11" s="28">
        <f t="shared" si="9"/>
        <v>180</v>
      </c>
      <c r="Q11" s="29">
        <v>1000.0</v>
      </c>
      <c r="R11" s="30">
        <f t="shared" si="10"/>
        <v>39</v>
      </c>
      <c r="S11" s="26">
        <v>0.0</v>
      </c>
      <c r="T11" s="31">
        <f t="shared" si="11"/>
        <v>781</v>
      </c>
      <c r="U11" s="32">
        <f t="shared" si="12"/>
        <v>4.555555556</v>
      </c>
    </row>
    <row r="12">
      <c r="A12" s="16">
        <v>45546.0</v>
      </c>
      <c r="B12" s="36">
        <v>0.0</v>
      </c>
      <c r="C12" s="36" t="str">
        <f t="shared" si="1"/>
        <v>#DIV/0!</v>
      </c>
      <c r="D12" s="19">
        <v>0.0</v>
      </c>
      <c r="E12" s="37" t="str">
        <f t="shared" si="2"/>
        <v>#DIV/0!</v>
      </c>
      <c r="F12" s="37" t="str">
        <f t="shared" si="3"/>
        <v>#DIV/0!</v>
      </c>
      <c r="G12" s="38">
        <v>0.0</v>
      </c>
      <c r="H12" s="22" t="str">
        <f t="shared" si="4"/>
        <v>#DIV/0!</v>
      </c>
      <c r="I12" s="22" t="str">
        <f t="shared" si="5"/>
        <v>#DIV/0!</v>
      </c>
      <c r="J12" s="35">
        <v>0.0</v>
      </c>
      <c r="K12" s="35" t="str">
        <f t="shared" si="6"/>
        <v>#DIV/0!</v>
      </c>
      <c r="L12" s="35" t="str">
        <f t="shared" si="7"/>
        <v>#DIV/0!</v>
      </c>
      <c r="M12" s="33">
        <v>0.0</v>
      </c>
      <c r="N12" s="33" t="str">
        <f t="shared" si="8"/>
        <v>#DIV/0!</v>
      </c>
      <c r="O12" s="39">
        <v>0.0</v>
      </c>
      <c r="P12" s="28">
        <f t="shared" si="9"/>
        <v>0</v>
      </c>
      <c r="Q12" s="34">
        <v>0.0</v>
      </c>
      <c r="R12" s="30">
        <f t="shared" si="10"/>
        <v>0</v>
      </c>
      <c r="S12" s="26">
        <v>0.0</v>
      </c>
      <c r="T12" s="31">
        <f t="shared" si="11"/>
        <v>0</v>
      </c>
      <c r="U12" s="32" t="str">
        <f t="shared" si="12"/>
        <v>#DIV/0!</v>
      </c>
    </row>
    <row r="13">
      <c r="A13" s="16">
        <v>45547.0</v>
      </c>
      <c r="B13" s="36">
        <v>0.0</v>
      </c>
      <c r="C13" s="36" t="str">
        <f t="shared" si="1"/>
        <v>#DIV/0!</v>
      </c>
      <c r="D13" s="19">
        <v>0.0</v>
      </c>
      <c r="E13" s="37" t="str">
        <f t="shared" si="2"/>
        <v>#DIV/0!</v>
      </c>
      <c r="F13" s="37" t="str">
        <f t="shared" si="3"/>
        <v>#DIV/0!</v>
      </c>
      <c r="G13" s="38">
        <v>0.0</v>
      </c>
      <c r="H13" s="22" t="str">
        <f t="shared" si="4"/>
        <v>#DIV/0!</v>
      </c>
      <c r="I13" s="22" t="str">
        <f t="shared" si="5"/>
        <v>#DIV/0!</v>
      </c>
      <c r="J13" s="35">
        <v>0.0</v>
      </c>
      <c r="K13" s="35" t="str">
        <f t="shared" si="6"/>
        <v>#DIV/0!</v>
      </c>
      <c r="L13" s="35" t="str">
        <f t="shared" si="7"/>
        <v>#DIV/0!</v>
      </c>
      <c r="M13" s="33">
        <v>0.0</v>
      </c>
      <c r="N13" s="33" t="str">
        <f t="shared" si="8"/>
        <v>#DIV/0!</v>
      </c>
      <c r="O13" s="39">
        <v>0.0</v>
      </c>
      <c r="P13" s="28">
        <f t="shared" si="9"/>
        <v>0</v>
      </c>
      <c r="Q13" s="34">
        <v>0.0</v>
      </c>
      <c r="R13" s="30">
        <f t="shared" si="10"/>
        <v>0</v>
      </c>
      <c r="S13" s="26">
        <v>0.0</v>
      </c>
      <c r="T13" s="31">
        <f t="shared" si="11"/>
        <v>0</v>
      </c>
      <c r="U13" s="32" t="str">
        <f t="shared" si="12"/>
        <v>#DIV/0!</v>
      </c>
    </row>
    <row r="14">
      <c r="A14" s="16">
        <v>45548.0</v>
      </c>
      <c r="B14" s="36">
        <v>0.0</v>
      </c>
      <c r="C14" s="36" t="str">
        <f t="shared" si="1"/>
        <v>#DIV/0!</v>
      </c>
      <c r="D14" s="19">
        <v>0.0</v>
      </c>
      <c r="E14" s="37" t="str">
        <f t="shared" si="2"/>
        <v>#DIV/0!</v>
      </c>
      <c r="F14" s="37" t="str">
        <f t="shared" si="3"/>
        <v>#DIV/0!</v>
      </c>
      <c r="G14" s="38">
        <v>0.0</v>
      </c>
      <c r="H14" s="22" t="str">
        <f t="shared" si="4"/>
        <v>#DIV/0!</v>
      </c>
      <c r="I14" s="22" t="str">
        <f t="shared" si="5"/>
        <v>#DIV/0!</v>
      </c>
      <c r="J14" s="35">
        <v>0.0</v>
      </c>
      <c r="K14" s="35" t="str">
        <f t="shared" si="6"/>
        <v>#DIV/0!</v>
      </c>
      <c r="L14" s="35" t="str">
        <f t="shared" si="7"/>
        <v>#DIV/0!</v>
      </c>
      <c r="M14" s="33">
        <v>0.0</v>
      </c>
      <c r="N14" s="33" t="str">
        <f t="shared" si="8"/>
        <v>#DIV/0!</v>
      </c>
      <c r="O14" s="39">
        <v>0.0</v>
      </c>
      <c r="P14" s="28">
        <f t="shared" si="9"/>
        <v>0</v>
      </c>
      <c r="Q14" s="34">
        <v>0.0</v>
      </c>
      <c r="R14" s="30">
        <f t="shared" si="10"/>
        <v>0</v>
      </c>
      <c r="S14" s="26">
        <v>0.0</v>
      </c>
      <c r="T14" s="31">
        <f t="shared" si="11"/>
        <v>0</v>
      </c>
      <c r="U14" s="32" t="str">
        <f t="shared" si="12"/>
        <v>#DIV/0!</v>
      </c>
    </row>
    <row r="15">
      <c r="A15" s="16">
        <v>45549.0</v>
      </c>
      <c r="B15" s="36">
        <v>0.0</v>
      </c>
      <c r="C15" s="36" t="str">
        <f t="shared" si="1"/>
        <v>#DIV/0!</v>
      </c>
      <c r="D15" s="19">
        <v>0.0</v>
      </c>
      <c r="E15" s="37" t="str">
        <f t="shared" si="2"/>
        <v>#DIV/0!</v>
      </c>
      <c r="F15" s="37" t="str">
        <f t="shared" si="3"/>
        <v>#DIV/0!</v>
      </c>
      <c r="G15" s="38">
        <v>0.0</v>
      </c>
      <c r="H15" s="22" t="str">
        <f t="shared" si="4"/>
        <v>#DIV/0!</v>
      </c>
      <c r="I15" s="22" t="str">
        <f t="shared" si="5"/>
        <v>#DIV/0!</v>
      </c>
      <c r="J15" s="35">
        <v>0.0</v>
      </c>
      <c r="K15" s="35" t="str">
        <f t="shared" si="6"/>
        <v>#DIV/0!</v>
      </c>
      <c r="L15" s="35" t="str">
        <f t="shared" si="7"/>
        <v>#DIV/0!</v>
      </c>
      <c r="M15" s="33">
        <v>0.0</v>
      </c>
      <c r="N15" s="33" t="str">
        <f t="shared" si="8"/>
        <v>#DIV/0!</v>
      </c>
      <c r="O15" s="39">
        <v>0.0</v>
      </c>
      <c r="P15" s="28">
        <f t="shared" si="9"/>
        <v>0</v>
      </c>
      <c r="Q15" s="34">
        <v>0.0</v>
      </c>
      <c r="R15" s="30">
        <f t="shared" si="10"/>
        <v>0</v>
      </c>
      <c r="S15" s="26">
        <v>0.0</v>
      </c>
      <c r="T15" s="31">
        <f t="shared" si="11"/>
        <v>0</v>
      </c>
      <c r="U15" s="32" t="str">
        <f t="shared" si="12"/>
        <v>#DIV/0!</v>
      </c>
    </row>
    <row r="16">
      <c r="A16" s="16">
        <v>45550.0</v>
      </c>
      <c r="B16" s="36">
        <v>0.0</v>
      </c>
      <c r="C16" s="36" t="str">
        <f t="shared" si="1"/>
        <v>#DIV/0!</v>
      </c>
      <c r="D16" s="19">
        <v>0.0</v>
      </c>
      <c r="E16" s="37" t="str">
        <f t="shared" si="2"/>
        <v>#DIV/0!</v>
      </c>
      <c r="F16" s="37" t="str">
        <f t="shared" si="3"/>
        <v>#DIV/0!</v>
      </c>
      <c r="G16" s="38">
        <v>0.0</v>
      </c>
      <c r="H16" s="22" t="str">
        <f t="shared" si="4"/>
        <v>#DIV/0!</v>
      </c>
      <c r="I16" s="22" t="str">
        <f t="shared" si="5"/>
        <v>#DIV/0!</v>
      </c>
      <c r="J16" s="35">
        <v>0.0</v>
      </c>
      <c r="K16" s="35" t="str">
        <f t="shared" si="6"/>
        <v>#DIV/0!</v>
      </c>
      <c r="L16" s="35" t="str">
        <f t="shared" si="7"/>
        <v>#DIV/0!</v>
      </c>
      <c r="M16" s="33">
        <v>0.0</v>
      </c>
      <c r="N16" s="33" t="str">
        <f t="shared" si="8"/>
        <v>#DIV/0!</v>
      </c>
      <c r="O16" s="39">
        <v>0.0</v>
      </c>
      <c r="P16" s="28">
        <f t="shared" si="9"/>
        <v>0</v>
      </c>
      <c r="Q16" s="34">
        <v>0.0</v>
      </c>
      <c r="R16" s="30">
        <f t="shared" si="10"/>
        <v>0</v>
      </c>
      <c r="S16" s="26">
        <v>0.0</v>
      </c>
      <c r="T16" s="31">
        <f t="shared" si="11"/>
        <v>0</v>
      </c>
      <c r="U16" s="32" t="str">
        <f t="shared" si="12"/>
        <v>#DIV/0!</v>
      </c>
    </row>
    <row r="17">
      <c r="A17" s="16">
        <v>45551.0</v>
      </c>
      <c r="B17" s="36">
        <v>0.0</v>
      </c>
      <c r="C17" s="36" t="str">
        <f t="shared" si="1"/>
        <v>#DIV/0!</v>
      </c>
      <c r="D17" s="19">
        <v>0.0</v>
      </c>
      <c r="E17" s="37" t="str">
        <f t="shared" si="2"/>
        <v>#DIV/0!</v>
      </c>
      <c r="F17" s="37" t="str">
        <f t="shared" si="3"/>
        <v>#DIV/0!</v>
      </c>
      <c r="G17" s="38">
        <v>0.0</v>
      </c>
      <c r="H17" s="22" t="str">
        <f t="shared" si="4"/>
        <v>#DIV/0!</v>
      </c>
      <c r="I17" s="22" t="str">
        <f t="shared" si="5"/>
        <v>#DIV/0!</v>
      </c>
      <c r="J17" s="35">
        <v>0.0</v>
      </c>
      <c r="K17" s="35" t="str">
        <f t="shared" si="6"/>
        <v>#DIV/0!</v>
      </c>
      <c r="L17" s="35" t="str">
        <f t="shared" si="7"/>
        <v>#DIV/0!</v>
      </c>
      <c r="M17" s="33">
        <v>0.0</v>
      </c>
      <c r="N17" s="33" t="str">
        <f t="shared" si="8"/>
        <v>#DIV/0!</v>
      </c>
      <c r="O17" s="39">
        <v>0.0</v>
      </c>
      <c r="P17" s="28">
        <f t="shared" si="9"/>
        <v>0</v>
      </c>
      <c r="Q17" s="34">
        <v>0.0</v>
      </c>
      <c r="R17" s="30">
        <f t="shared" si="10"/>
        <v>0</v>
      </c>
      <c r="S17" s="26">
        <v>0.0</v>
      </c>
      <c r="T17" s="31">
        <f t="shared" si="11"/>
        <v>0</v>
      </c>
      <c r="U17" s="32" t="str">
        <f t="shared" si="12"/>
        <v>#DIV/0!</v>
      </c>
    </row>
    <row r="18">
      <c r="A18" s="16">
        <v>45552.0</v>
      </c>
      <c r="B18" s="36">
        <v>0.0</v>
      </c>
      <c r="C18" s="36" t="str">
        <f t="shared" si="1"/>
        <v>#DIV/0!</v>
      </c>
      <c r="D18" s="19">
        <v>0.0</v>
      </c>
      <c r="E18" s="37" t="str">
        <f t="shared" si="2"/>
        <v>#DIV/0!</v>
      </c>
      <c r="F18" s="37" t="str">
        <f t="shared" si="3"/>
        <v>#DIV/0!</v>
      </c>
      <c r="G18" s="38">
        <v>0.0</v>
      </c>
      <c r="H18" s="22" t="str">
        <f t="shared" si="4"/>
        <v>#DIV/0!</v>
      </c>
      <c r="I18" s="22" t="str">
        <f t="shared" si="5"/>
        <v>#DIV/0!</v>
      </c>
      <c r="J18" s="35">
        <v>0.0</v>
      </c>
      <c r="K18" s="35" t="str">
        <f t="shared" si="6"/>
        <v>#DIV/0!</v>
      </c>
      <c r="L18" s="35" t="str">
        <f t="shared" si="7"/>
        <v>#DIV/0!</v>
      </c>
      <c r="M18" s="33">
        <v>0.0</v>
      </c>
      <c r="N18" s="33" t="str">
        <f t="shared" si="8"/>
        <v>#DIV/0!</v>
      </c>
      <c r="O18" s="39">
        <v>0.0</v>
      </c>
      <c r="P18" s="28">
        <f t="shared" si="9"/>
        <v>0</v>
      </c>
      <c r="Q18" s="34">
        <v>0.0</v>
      </c>
      <c r="R18" s="30">
        <f t="shared" si="10"/>
        <v>0</v>
      </c>
      <c r="S18" s="26">
        <v>0.0</v>
      </c>
      <c r="T18" s="31">
        <f t="shared" si="11"/>
        <v>0</v>
      </c>
      <c r="U18" s="32" t="str">
        <f t="shared" si="12"/>
        <v>#DIV/0!</v>
      </c>
    </row>
    <row r="19">
      <c r="A19" s="16">
        <v>45553.0</v>
      </c>
      <c r="B19" s="36">
        <v>0.0</v>
      </c>
      <c r="C19" s="36" t="str">
        <f t="shared" si="1"/>
        <v>#DIV/0!</v>
      </c>
      <c r="D19" s="19">
        <v>0.0</v>
      </c>
      <c r="E19" s="37" t="str">
        <f t="shared" si="2"/>
        <v>#DIV/0!</v>
      </c>
      <c r="F19" s="37" t="str">
        <f t="shared" si="3"/>
        <v>#DIV/0!</v>
      </c>
      <c r="G19" s="38">
        <v>0.0</v>
      </c>
      <c r="H19" s="22" t="str">
        <f t="shared" si="4"/>
        <v>#DIV/0!</v>
      </c>
      <c r="I19" s="22" t="str">
        <f t="shared" si="5"/>
        <v>#DIV/0!</v>
      </c>
      <c r="J19" s="35">
        <v>0.0</v>
      </c>
      <c r="K19" s="35" t="str">
        <f t="shared" si="6"/>
        <v>#DIV/0!</v>
      </c>
      <c r="L19" s="35" t="str">
        <f t="shared" si="7"/>
        <v>#DIV/0!</v>
      </c>
      <c r="M19" s="33">
        <v>0.0</v>
      </c>
      <c r="N19" s="33" t="str">
        <f t="shared" si="8"/>
        <v>#DIV/0!</v>
      </c>
      <c r="O19" s="39">
        <v>0.0</v>
      </c>
      <c r="P19" s="28">
        <f t="shared" si="9"/>
        <v>0</v>
      </c>
      <c r="Q19" s="34">
        <v>0.0</v>
      </c>
      <c r="R19" s="30">
        <f t="shared" si="10"/>
        <v>0</v>
      </c>
      <c r="S19" s="26">
        <v>0.0</v>
      </c>
      <c r="T19" s="31">
        <f t="shared" si="11"/>
        <v>0</v>
      </c>
      <c r="U19" s="32" t="str">
        <f t="shared" si="12"/>
        <v>#DIV/0!</v>
      </c>
    </row>
    <row r="20">
      <c r="A20" s="16">
        <v>45554.0</v>
      </c>
      <c r="B20" s="36">
        <v>0.0</v>
      </c>
      <c r="C20" s="36" t="str">
        <f t="shared" si="1"/>
        <v>#DIV/0!</v>
      </c>
      <c r="D20" s="19">
        <v>0.0</v>
      </c>
      <c r="E20" s="37" t="str">
        <f t="shared" si="2"/>
        <v>#DIV/0!</v>
      </c>
      <c r="F20" s="37" t="str">
        <f t="shared" si="3"/>
        <v>#DIV/0!</v>
      </c>
      <c r="G20" s="38">
        <v>0.0</v>
      </c>
      <c r="H20" s="22" t="str">
        <f t="shared" si="4"/>
        <v>#DIV/0!</v>
      </c>
      <c r="I20" s="22" t="str">
        <f t="shared" si="5"/>
        <v>#DIV/0!</v>
      </c>
      <c r="J20" s="35">
        <v>0.0</v>
      </c>
      <c r="K20" s="35" t="str">
        <f t="shared" si="6"/>
        <v>#DIV/0!</v>
      </c>
      <c r="L20" s="35" t="str">
        <f t="shared" si="7"/>
        <v>#DIV/0!</v>
      </c>
      <c r="M20" s="33">
        <v>0.0</v>
      </c>
      <c r="N20" s="33" t="str">
        <f t="shared" si="8"/>
        <v>#DIV/0!</v>
      </c>
      <c r="O20" s="39">
        <v>0.0</v>
      </c>
      <c r="P20" s="28">
        <f t="shared" si="9"/>
        <v>0</v>
      </c>
      <c r="Q20" s="34">
        <v>0.0</v>
      </c>
      <c r="R20" s="30">
        <f t="shared" si="10"/>
        <v>0</v>
      </c>
      <c r="S20" s="26">
        <v>0.0</v>
      </c>
      <c r="T20" s="31">
        <f t="shared" si="11"/>
        <v>0</v>
      </c>
      <c r="U20" s="32" t="str">
        <f t="shared" si="12"/>
        <v>#DIV/0!</v>
      </c>
    </row>
    <row r="21">
      <c r="A21" s="16">
        <v>45555.0</v>
      </c>
      <c r="B21" s="36">
        <v>0.0</v>
      </c>
      <c r="C21" s="36" t="str">
        <f t="shared" si="1"/>
        <v>#DIV/0!</v>
      </c>
      <c r="D21" s="19">
        <v>0.0</v>
      </c>
      <c r="E21" s="37" t="str">
        <f t="shared" si="2"/>
        <v>#DIV/0!</v>
      </c>
      <c r="F21" s="37" t="str">
        <f t="shared" si="3"/>
        <v>#DIV/0!</v>
      </c>
      <c r="G21" s="38">
        <v>0.0</v>
      </c>
      <c r="H21" s="22" t="str">
        <f t="shared" si="4"/>
        <v>#DIV/0!</v>
      </c>
      <c r="I21" s="22" t="str">
        <f t="shared" si="5"/>
        <v>#DIV/0!</v>
      </c>
      <c r="J21" s="35">
        <v>0.0</v>
      </c>
      <c r="K21" s="35" t="str">
        <f t="shared" si="6"/>
        <v>#DIV/0!</v>
      </c>
      <c r="L21" s="35" t="str">
        <f t="shared" si="7"/>
        <v>#DIV/0!</v>
      </c>
      <c r="M21" s="33">
        <v>0.0</v>
      </c>
      <c r="N21" s="33" t="str">
        <f t="shared" si="8"/>
        <v>#DIV/0!</v>
      </c>
      <c r="O21" s="39">
        <v>0.0</v>
      </c>
      <c r="P21" s="28">
        <f t="shared" si="9"/>
        <v>0</v>
      </c>
      <c r="Q21" s="34">
        <v>0.0</v>
      </c>
      <c r="R21" s="30">
        <f t="shared" si="10"/>
        <v>0</v>
      </c>
      <c r="S21" s="26">
        <v>0.0</v>
      </c>
      <c r="T21" s="31">
        <f t="shared" si="11"/>
        <v>0</v>
      </c>
      <c r="U21" s="32" t="str">
        <f t="shared" si="12"/>
        <v>#DIV/0!</v>
      </c>
    </row>
    <row r="22">
      <c r="A22" s="16">
        <v>45556.0</v>
      </c>
      <c r="B22" s="36">
        <v>0.0</v>
      </c>
      <c r="C22" s="36" t="str">
        <f t="shared" si="1"/>
        <v>#DIV/0!</v>
      </c>
      <c r="D22" s="19">
        <v>0.0</v>
      </c>
      <c r="E22" s="37" t="str">
        <f t="shared" si="2"/>
        <v>#DIV/0!</v>
      </c>
      <c r="F22" s="37" t="str">
        <f t="shared" si="3"/>
        <v>#DIV/0!</v>
      </c>
      <c r="G22" s="38">
        <v>0.0</v>
      </c>
      <c r="H22" s="22" t="str">
        <f t="shared" si="4"/>
        <v>#DIV/0!</v>
      </c>
      <c r="I22" s="22" t="str">
        <f t="shared" si="5"/>
        <v>#DIV/0!</v>
      </c>
      <c r="J22" s="35">
        <v>0.0</v>
      </c>
      <c r="K22" s="35" t="str">
        <f t="shared" si="6"/>
        <v>#DIV/0!</v>
      </c>
      <c r="L22" s="35" t="str">
        <f t="shared" si="7"/>
        <v>#DIV/0!</v>
      </c>
      <c r="M22" s="33">
        <v>0.0</v>
      </c>
      <c r="N22" s="33" t="str">
        <f t="shared" si="8"/>
        <v>#DIV/0!</v>
      </c>
      <c r="O22" s="39">
        <v>0.0</v>
      </c>
      <c r="P22" s="28">
        <f t="shared" si="9"/>
        <v>0</v>
      </c>
      <c r="Q22" s="34">
        <v>0.0</v>
      </c>
      <c r="R22" s="30">
        <f t="shared" si="10"/>
        <v>0</v>
      </c>
      <c r="S22" s="26">
        <v>0.0</v>
      </c>
      <c r="T22" s="31">
        <f t="shared" si="11"/>
        <v>0</v>
      </c>
      <c r="U22" s="32" t="str">
        <f t="shared" si="12"/>
        <v>#DIV/0!</v>
      </c>
    </row>
    <row r="23">
      <c r="A23" s="16">
        <v>45557.0</v>
      </c>
      <c r="B23" s="36">
        <v>0.0</v>
      </c>
      <c r="C23" s="36" t="str">
        <f t="shared" si="1"/>
        <v>#DIV/0!</v>
      </c>
      <c r="D23" s="19">
        <v>0.0</v>
      </c>
      <c r="E23" s="37" t="str">
        <f t="shared" si="2"/>
        <v>#DIV/0!</v>
      </c>
      <c r="F23" s="37" t="str">
        <f t="shared" si="3"/>
        <v>#DIV/0!</v>
      </c>
      <c r="G23" s="38">
        <v>0.0</v>
      </c>
      <c r="H23" s="22" t="str">
        <f t="shared" si="4"/>
        <v>#DIV/0!</v>
      </c>
      <c r="I23" s="22" t="str">
        <f t="shared" si="5"/>
        <v>#DIV/0!</v>
      </c>
      <c r="J23" s="35">
        <v>0.0</v>
      </c>
      <c r="K23" s="35" t="str">
        <f t="shared" si="6"/>
        <v>#DIV/0!</v>
      </c>
      <c r="L23" s="35" t="str">
        <f t="shared" si="7"/>
        <v>#DIV/0!</v>
      </c>
      <c r="M23" s="33">
        <v>0.0</v>
      </c>
      <c r="N23" s="33" t="str">
        <f t="shared" si="8"/>
        <v>#DIV/0!</v>
      </c>
      <c r="O23" s="39">
        <v>0.0</v>
      </c>
      <c r="P23" s="28">
        <f t="shared" si="9"/>
        <v>0</v>
      </c>
      <c r="Q23" s="34">
        <v>0.0</v>
      </c>
      <c r="R23" s="30">
        <f t="shared" si="10"/>
        <v>0</v>
      </c>
      <c r="S23" s="26">
        <v>0.0</v>
      </c>
      <c r="T23" s="31">
        <f t="shared" si="11"/>
        <v>0</v>
      </c>
      <c r="U23" s="32" t="str">
        <f t="shared" si="12"/>
        <v>#DIV/0!</v>
      </c>
    </row>
    <row r="24">
      <c r="A24" s="16">
        <v>45558.0</v>
      </c>
      <c r="B24" s="36">
        <v>0.0</v>
      </c>
      <c r="C24" s="36" t="str">
        <f t="shared" si="1"/>
        <v>#DIV/0!</v>
      </c>
      <c r="D24" s="19">
        <v>0.0</v>
      </c>
      <c r="E24" s="37" t="str">
        <f t="shared" si="2"/>
        <v>#DIV/0!</v>
      </c>
      <c r="F24" s="37" t="str">
        <f t="shared" si="3"/>
        <v>#DIV/0!</v>
      </c>
      <c r="G24" s="38">
        <v>0.0</v>
      </c>
      <c r="H24" s="22" t="str">
        <f t="shared" si="4"/>
        <v>#DIV/0!</v>
      </c>
      <c r="I24" s="22" t="str">
        <f t="shared" si="5"/>
        <v>#DIV/0!</v>
      </c>
      <c r="J24" s="35">
        <v>0.0</v>
      </c>
      <c r="K24" s="35" t="str">
        <f t="shared" si="6"/>
        <v>#DIV/0!</v>
      </c>
      <c r="L24" s="35" t="str">
        <f t="shared" si="7"/>
        <v>#DIV/0!</v>
      </c>
      <c r="M24" s="33">
        <v>0.0</v>
      </c>
      <c r="N24" s="33" t="str">
        <f t="shared" si="8"/>
        <v>#DIV/0!</v>
      </c>
      <c r="O24" s="39">
        <v>0.0</v>
      </c>
      <c r="P24" s="28">
        <f t="shared" si="9"/>
        <v>0</v>
      </c>
      <c r="Q24" s="34">
        <v>0.0</v>
      </c>
      <c r="R24" s="30">
        <f t="shared" si="10"/>
        <v>0</v>
      </c>
      <c r="S24" s="26">
        <v>0.0</v>
      </c>
      <c r="T24" s="31">
        <f t="shared" si="11"/>
        <v>0</v>
      </c>
      <c r="U24" s="32" t="str">
        <f t="shared" si="12"/>
        <v>#DIV/0!</v>
      </c>
    </row>
    <row r="25">
      <c r="A25" s="16">
        <v>45559.0</v>
      </c>
      <c r="B25" s="36">
        <v>0.0</v>
      </c>
      <c r="C25" s="36" t="str">
        <f t="shared" si="1"/>
        <v>#DIV/0!</v>
      </c>
      <c r="D25" s="19">
        <v>0.0</v>
      </c>
      <c r="E25" s="37" t="str">
        <f t="shared" si="2"/>
        <v>#DIV/0!</v>
      </c>
      <c r="F25" s="37" t="str">
        <f t="shared" si="3"/>
        <v>#DIV/0!</v>
      </c>
      <c r="G25" s="38">
        <v>0.0</v>
      </c>
      <c r="H25" s="22" t="str">
        <f t="shared" si="4"/>
        <v>#DIV/0!</v>
      </c>
      <c r="I25" s="22" t="str">
        <f t="shared" si="5"/>
        <v>#DIV/0!</v>
      </c>
      <c r="J25" s="35">
        <v>0.0</v>
      </c>
      <c r="K25" s="35" t="str">
        <f t="shared" si="6"/>
        <v>#DIV/0!</v>
      </c>
      <c r="L25" s="35" t="str">
        <f t="shared" si="7"/>
        <v>#DIV/0!</v>
      </c>
      <c r="M25" s="33">
        <v>0.0</v>
      </c>
      <c r="N25" s="33" t="str">
        <f t="shared" si="8"/>
        <v>#DIV/0!</v>
      </c>
      <c r="O25" s="39">
        <v>0.0</v>
      </c>
      <c r="P25" s="28">
        <f t="shared" si="9"/>
        <v>0</v>
      </c>
      <c r="Q25" s="34">
        <v>0.0</v>
      </c>
      <c r="R25" s="30">
        <f t="shared" si="10"/>
        <v>0</v>
      </c>
      <c r="S25" s="26">
        <v>0.0</v>
      </c>
      <c r="T25" s="31">
        <f t="shared" si="11"/>
        <v>0</v>
      </c>
      <c r="U25" s="32" t="str">
        <f t="shared" si="12"/>
        <v>#DIV/0!</v>
      </c>
    </row>
    <row r="26">
      <c r="A26" s="16">
        <v>45560.0</v>
      </c>
      <c r="B26" s="36">
        <v>0.0</v>
      </c>
      <c r="C26" s="36" t="str">
        <f t="shared" si="1"/>
        <v>#DIV/0!</v>
      </c>
      <c r="D26" s="19">
        <v>0.0</v>
      </c>
      <c r="E26" s="37" t="str">
        <f t="shared" si="2"/>
        <v>#DIV/0!</v>
      </c>
      <c r="F26" s="37" t="str">
        <f t="shared" si="3"/>
        <v>#DIV/0!</v>
      </c>
      <c r="G26" s="38">
        <v>0.0</v>
      </c>
      <c r="H26" s="22" t="str">
        <f t="shared" si="4"/>
        <v>#DIV/0!</v>
      </c>
      <c r="I26" s="22" t="str">
        <f t="shared" si="5"/>
        <v>#DIV/0!</v>
      </c>
      <c r="J26" s="35">
        <v>0.0</v>
      </c>
      <c r="K26" s="35" t="str">
        <f t="shared" si="6"/>
        <v>#DIV/0!</v>
      </c>
      <c r="L26" s="35" t="str">
        <f t="shared" si="7"/>
        <v>#DIV/0!</v>
      </c>
      <c r="M26" s="33">
        <v>0.0</v>
      </c>
      <c r="N26" s="33" t="str">
        <f t="shared" si="8"/>
        <v>#DIV/0!</v>
      </c>
      <c r="O26" s="39">
        <v>0.0</v>
      </c>
      <c r="P26" s="28">
        <f t="shared" si="9"/>
        <v>0</v>
      </c>
      <c r="Q26" s="34">
        <v>0.0</v>
      </c>
      <c r="R26" s="30">
        <f t="shared" si="10"/>
        <v>0</v>
      </c>
      <c r="S26" s="26">
        <v>0.0</v>
      </c>
      <c r="T26" s="31">
        <f t="shared" si="11"/>
        <v>0</v>
      </c>
      <c r="U26" s="32" t="str">
        <f t="shared" si="12"/>
        <v>#DIV/0!</v>
      </c>
    </row>
    <row r="27">
      <c r="A27" s="16">
        <v>45561.0</v>
      </c>
      <c r="B27" s="36">
        <v>0.0</v>
      </c>
      <c r="C27" s="36" t="str">
        <f t="shared" si="1"/>
        <v>#DIV/0!</v>
      </c>
      <c r="D27" s="19">
        <v>0.0</v>
      </c>
      <c r="E27" s="37" t="str">
        <f t="shared" si="2"/>
        <v>#DIV/0!</v>
      </c>
      <c r="F27" s="37" t="str">
        <f t="shared" si="3"/>
        <v>#DIV/0!</v>
      </c>
      <c r="G27" s="38">
        <v>0.0</v>
      </c>
      <c r="H27" s="22" t="str">
        <f t="shared" si="4"/>
        <v>#DIV/0!</v>
      </c>
      <c r="I27" s="22" t="str">
        <f t="shared" si="5"/>
        <v>#DIV/0!</v>
      </c>
      <c r="J27" s="35">
        <v>0.0</v>
      </c>
      <c r="K27" s="35" t="str">
        <f t="shared" si="6"/>
        <v>#DIV/0!</v>
      </c>
      <c r="L27" s="35" t="str">
        <f t="shared" si="7"/>
        <v>#DIV/0!</v>
      </c>
      <c r="M27" s="33">
        <v>0.0</v>
      </c>
      <c r="N27" s="33" t="str">
        <f t="shared" si="8"/>
        <v>#DIV/0!</v>
      </c>
      <c r="O27" s="39">
        <v>0.0</v>
      </c>
      <c r="P27" s="28">
        <f t="shared" si="9"/>
        <v>0</v>
      </c>
      <c r="Q27" s="34">
        <v>0.0</v>
      </c>
      <c r="R27" s="30">
        <f t="shared" si="10"/>
        <v>0</v>
      </c>
      <c r="S27" s="26">
        <v>0.0</v>
      </c>
      <c r="T27" s="31">
        <f t="shared" si="11"/>
        <v>0</v>
      </c>
      <c r="U27" s="32" t="str">
        <f t="shared" si="12"/>
        <v>#DIV/0!</v>
      </c>
    </row>
    <row r="28">
      <c r="A28" s="16">
        <v>45562.0</v>
      </c>
      <c r="B28" s="36">
        <v>0.0</v>
      </c>
      <c r="C28" s="36" t="str">
        <f t="shared" si="1"/>
        <v>#DIV/0!</v>
      </c>
      <c r="D28" s="19">
        <v>0.0</v>
      </c>
      <c r="E28" s="37" t="str">
        <f t="shared" si="2"/>
        <v>#DIV/0!</v>
      </c>
      <c r="F28" s="37" t="str">
        <f t="shared" si="3"/>
        <v>#DIV/0!</v>
      </c>
      <c r="G28" s="38">
        <v>0.0</v>
      </c>
      <c r="H28" s="22" t="str">
        <f t="shared" si="4"/>
        <v>#DIV/0!</v>
      </c>
      <c r="I28" s="22" t="str">
        <f t="shared" si="5"/>
        <v>#DIV/0!</v>
      </c>
      <c r="J28" s="35">
        <v>0.0</v>
      </c>
      <c r="K28" s="35" t="str">
        <f t="shared" si="6"/>
        <v>#DIV/0!</v>
      </c>
      <c r="L28" s="35" t="str">
        <f t="shared" si="7"/>
        <v>#DIV/0!</v>
      </c>
      <c r="M28" s="33">
        <v>0.0</v>
      </c>
      <c r="N28" s="33" t="str">
        <f t="shared" si="8"/>
        <v>#DIV/0!</v>
      </c>
      <c r="O28" s="39">
        <v>0.0</v>
      </c>
      <c r="P28" s="28">
        <f t="shared" si="9"/>
        <v>0</v>
      </c>
      <c r="Q28" s="34">
        <v>0.0</v>
      </c>
      <c r="R28" s="30">
        <f t="shared" si="10"/>
        <v>0</v>
      </c>
      <c r="S28" s="26">
        <v>0.0</v>
      </c>
      <c r="T28" s="31">
        <f t="shared" si="11"/>
        <v>0</v>
      </c>
      <c r="U28" s="32" t="str">
        <f t="shared" si="12"/>
        <v>#DIV/0!</v>
      </c>
    </row>
    <row r="29">
      <c r="A29" s="16">
        <v>45563.0</v>
      </c>
      <c r="B29" s="36">
        <v>0.0</v>
      </c>
      <c r="C29" s="36" t="str">
        <f t="shared" si="1"/>
        <v>#DIV/0!</v>
      </c>
      <c r="D29" s="19">
        <v>0.0</v>
      </c>
      <c r="E29" s="37" t="str">
        <f t="shared" si="2"/>
        <v>#DIV/0!</v>
      </c>
      <c r="F29" s="37" t="str">
        <f t="shared" si="3"/>
        <v>#DIV/0!</v>
      </c>
      <c r="G29" s="38">
        <v>0.0</v>
      </c>
      <c r="H29" s="22" t="str">
        <f t="shared" si="4"/>
        <v>#DIV/0!</v>
      </c>
      <c r="I29" s="22" t="str">
        <f t="shared" si="5"/>
        <v>#DIV/0!</v>
      </c>
      <c r="J29" s="35">
        <v>0.0</v>
      </c>
      <c r="K29" s="35" t="str">
        <f t="shared" si="6"/>
        <v>#DIV/0!</v>
      </c>
      <c r="L29" s="35" t="str">
        <f t="shared" si="7"/>
        <v>#DIV/0!</v>
      </c>
      <c r="M29" s="33">
        <v>0.0</v>
      </c>
      <c r="N29" s="33" t="str">
        <f t="shared" si="8"/>
        <v>#DIV/0!</v>
      </c>
      <c r="O29" s="39">
        <v>0.0</v>
      </c>
      <c r="P29" s="28">
        <f t="shared" si="9"/>
        <v>0</v>
      </c>
      <c r="Q29" s="34">
        <v>0.0</v>
      </c>
      <c r="R29" s="30">
        <f t="shared" si="10"/>
        <v>0</v>
      </c>
      <c r="S29" s="26">
        <v>0.0</v>
      </c>
      <c r="T29" s="31">
        <f t="shared" si="11"/>
        <v>0</v>
      </c>
      <c r="U29" s="32" t="str">
        <f t="shared" si="12"/>
        <v>#DIV/0!</v>
      </c>
    </row>
    <row r="30">
      <c r="A30" s="16">
        <v>45564.0</v>
      </c>
      <c r="B30" s="36">
        <v>0.0</v>
      </c>
      <c r="C30" s="36" t="str">
        <f t="shared" si="1"/>
        <v>#DIV/0!</v>
      </c>
      <c r="D30" s="19">
        <v>0.0</v>
      </c>
      <c r="E30" s="37" t="str">
        <f t="shared" si="2"/>
        <v>#DIV/0!</v>
      </c>
      <c r="F30" s="37" t="str">
        <f t="shared" si="3"/>
        <v>#DIV/0!</v>
      </c>
      <c r="G30" s="38">
        <v>0.0</v>
      </c>
      <c r="H30" s="22" t="str">
        <f t="shared" si="4"/>
        <v>#DIV/0!</v>
      </c>
      <c r="I30" s="22" t="str">
        <f t="shared" si="5"/>
        <v>#DIV/0!</v>
      </c>
      <c r="J30" s="35">
        <v>0.0</v>
      </c>
      <c r="K30" s="35" t="str">
        <f t="shared" si="6"/>
        <v>#DIV/0!</v>
      </c>
      <c r="L30" s="35" t="str">
        <f t="shared" si="7"/>
        <v>#DIV/0!</v>
      </c>
      <c r="M30" s="33">
        <v>0.0</v>
      </c>
      <c r="N30" s="33" t="str">
        <f t="shared" si="8"/>
        <v>#DIV/0!</v>
      </c>
      <c r="O30" s="39">
        <v>0.0</v>
      </c>
      <c r="P30" s="28">
        <f t="shared" si="9"/>
        <v>0</v>
      </c>
      <c r="Q30" s="34">
        <v>0.0</v>
      </c>
      <c r="R30" s="30">
        <f t="shared" si="10"/>
        <v>0</v>
      </c>
      <c r="S30" s="26">
        <v>0.0</v>
      </c>
      <c r="T30" s="31">
        <f t="shared" si="11"/>
        <v>0</v>
      </c>
      <c r="U30" s="32" t="str">
        <f t="shared" si="12"/>
        <v>#DIV/0!</v>
      </c>
    </row>
    <row r="31">
      <c r="A31" s="16">
        <v>45565.0</v>
      </c>
      <c r="B31" s="36">
        <v>0.0</v>
      </c>
      <c r="C31" s="36" t="str">
        <f t="shared" si="1"/>
        <v>#DIV/0!</v>
      </c>
      <c r="D31" s="19">
        <v>0.0</v>
      </c>
      <c r="E31" s="37" t="str">
        <f t="shared" si="2"/>
        <v>#DIV/0!</v>
      </c>
      <c r="F31" s="37" t="str">
        <f t="shared" si="3"/>
        <v>#DIV/0!</v>
      </c>
      <c r="G31" s="38">
        <v>0.0</v>
      </c>
      <c r="H31" s="22" t="str">
        <f t="shared" si="4"/>
        <v>#DIV/0!</v>
      </c>
      <c r="I31" s="22" t="str">
        <f t="shared" si="5"/>
        <v>#DIV/0!</v>
      </c>
      <c r="J31" s="35">
        <v>0.0</v>
      </c>
      <c r="K31" s="35" t="str">
        <f t="shared" si="6"/>
        <v>#DIV/0!</v>
      </c>
      <c r="L31" s="35" t="str">
        <f t="shared" si="7"/>
        <v>#DIV/0!</v>
      </c>
      <c r="M31" s="33">
        <v>0.0</v>
      </c>
      <c r="N31" s="33" t="str">
        <f t="shared" si="8"/>
        <v>#DIV/0!</v>
      </c>
      <c r="O31" s="39">
        <v>0.0</v>
      </c>
      <c r="P31" s="28">
        <f t="shared" si="9"/>
        <v>0</v>
      </c>
      <c r="Q31" s="34">
        <v>0.0</v>
      </c>
      <c r="R31" s="30">
        <f t="shared" si="10"/>
        <v>0</v>
      </c>
      <c r="S31" s="26">
        <v>0.0</v>
      </c>
      <c r="T31" s="31">
        <f t="shared" si="11"/>
        <v>0</v>
      </c>
      <c r="U31" s="32" t="str">
        <f t="shared" si="12"/>
        <v>#DIV/0!</v>
      </c>
    </row>
    <row r="32">
      <c r="A32" s="40" t="s">
        <v>21</v>
      </c>
      <c r="B32" s="41">
        <f>SUM(B2:B31)</f>
        <v>1377</v>
      </c>
      <c r="C32" s="41" t="str">
        <f>AVERAGE(C2:C31)</f>
        <v>#DIV/0!</v>
      </c>
      <c r="D32" s="42">
        <f>SUM(D2:D31)</f>
        <v>522</v>
      </c>
      <c r="E32" s="42" t="str">
        <f t="shared" ref="E32:F32" si="13">AVERAGE(E2:E31)</f>
        <v>#DIV/0!</v>
      </c>
      <c r="F32" s="42" t="str">
        <f t="shared" si="13"/>
        <v>#DIV/0!</v>
      </c>
      <c r="G32" s="43">
        <f>SUM(G2:G31)</f>
        <v>628</v>
      </c>
      <c r="H32" s="44" t="str">
        <f t="shared" ref="H32:I32" si="14">AVERAGE(H2:H31)</f>
        <v>#DIV/0!</v>
      </c>
      <c r="I32" s="44" t="str">
        <f t="shared" si="14"/>
        <v>#DIV/0!</v>
      </c>
      <c r="J32" s="45">
        <f>SUM(J2:J31)</f>
        <v>22</v>
      </c>
      <c r="K32" s="45" t="str">
        <f t="shared" ref="K32:L32" si="15">AVERAGE(K2:K31)</f>
        <v>#DIV/0!</v>
      </c>
      <c r="L32" s="45" t="str">
        <f t="shared" si="15"/>
        <v>#DIV/0!</v>
      </c>
      <c r="M32" s="46">
        <f>SUM(M2:M31)</f>
        <v>5</v>
      </c>
      <c r="N32" s="46" t="str">
        <f>AVERAGE(N2:N31)</f>
        <v>#DIV/0!</v>
      </c>
      <c r="O32" s="47">
        <f t="shared" ref="O32:T32" si="16">SUM(O2:O31)</f>
        <v>1355</v>
      </c>
      <c r="P32" s="48">
        <f t="shared" si="16"/>
        <v>1355</v>
      </c>
      <c r="Q32" s="49">
        <f t="shared" si="16"/>
        <v>7000</v>
      </c>
      <c r="R32" s="50">
        <f t="shared" si="16"/>
        <v>273</v>
      </c>
      <c r="S32" s="51">
        <f t="shared" si="16"/>
        <v>0</v>
      </c>
      <c r="T32" s="52">
        <f t="shared" si="16"/>
        <v>5372</v>
      </c>
      <c r="U32" s="53" t="str">
        <f>AVERAGE(U2:U31)</f>
        <v>#DIV/0!</v>
      </c>
    </row>
    <row r="35">
      <c r="A35" s="54" t="s">
        <v>22</v>
      </c>
      <c r="B35" s="54" t="s">
        <v>23</v>
      </c>
    </row>
    <row r="36">
      <c r="A36" s="55" t="s">
        <v>24</v>
      </c>
      <c r="B36" s="56">
        <f>P32</f>
        <v>1355</v>
      </c>
    </row>
    <row r="37">
      <c r="A37" s="55" t="s">
        <v>25</v>
      </c>
      <c r="B37" s="57">
        <f>Q32</f>
        <v>7000</v>
      </c>
    </row>
    <row r="38">
      <c r="A38" s="58" t="s">
        <v>26</v>
      </c>
      <c r="B38" s="57">
        <f>D32</f>
        <v>522</v>
      </c>
    </row>
    <row r="39">
      <c r="A39" s="58" t="s">
        <v>27</v>
      </c>
      <c r="B39" s="57" t="str">
        <f>E32</f>
        <v>#DIV/0!</v>
      </c>
    </row>
    <row r="40">
      <c r="A40" s="58" t="s">
        <v>28</v>
      </c>
      <c r="B40" s="57" t="str">
        <f>F32</f>
        <v>#DIV/0!</v>
      </c>
    </row>
    <row r="41">
      <c r="A41" s="58" t="s">
        <v>29</v>
      </c>
      <c r="B41" s="59">
        <f>G32</f>
        <v>628</v>
      </c>
    </row>
    <row r="42">
      <c r="A42" s="58" t="s">
        <v>30</v>
      </c>
      <c r="B42" s="56">
        <f>B36/B41</f>
        <v>2.157643312</v>
      </c>
    </row>
    <row r="43">
      <c r="A43" s="58" t="s">
        <v>31</v>
      </c>
      <c r="B43" s="56">
        <f>B37/B41</f>
        <v>11.14649682</v>
      </c>
    </row>
    <row r="44">
      <c r="A44" s="58" t="s">
        <v>32</v>
      </c>
      <c r="B44" s="59">
        <f>J32</f>
        <v>22</v>
      </c>
    </row>
    <row r="45">
      <c r="A45" s="58" t="s">
        <v>33</v>
      </c>
      <c r="B45" s="56">
        <f>B36/B44</f>
        <v>61.59090909</v>
      </c>
    </row>
    <row r="46">
      <c r="A46" s="58" t="s">
        <v>34</v>
      </c>
      <c r="B46" s="56">
        <f>B37/B44</f>
        <v>318.1818182</v>
      </c>
    </row>
    <row r="47">
      <c r="A47" s="55" t="s">
        <v>35</v>
      </c>
      <c r="B47" s="59">
        <f>M32</f>
        <v>5</v>
      </c>
    </row>
    <row r="48">
      <c r="A48" s="55" t="s">
        <v>36</v>
      </c>
      <c r="B48" s="56">
        <f>B36/B47</f>
        <v>271</v>
      </c>
    </row>
    <row r="49">
      <c r="A49" s="55" t="s">
        <v>37</v>
      </c>
      <c r="B49" s="60">
        <v>0.0</v>
      </c>
    </row>
    <row r="50">
      <c r="A50" s="55" t="s">
        <v>38</v>
      </c>
      <c r="B50" s="56">
        <f>R32</f>
        <v>273</v>
      </c>
    </row>
    <row r="51">
      <c r="A51" s="55" t="s">
        <v>39</v>
      </c>
      <c r="B51" s="56">
        <f>S18+S25+S32</f>
        <v>0</v>
      </c>
    </row>
    <row r="52">
      <c r="A52" s="55" t="s">
        <v>40</v>
      </c>
      <c r="B52" s="56">
        <f>B37-B36-B49-B50</f>
        <v>5372</v>
      </c>
    </row>
    <row r="53">
      <c r="A53" s="55" t="s">
        <v>41</v>
      </c>
      <c r="B53" s="61">
        <f>(B37-B36)/(B36)</f>
        <v>4.166051661</v>
      </c>
    </row>
    <row r="54">
      <c r="A54" s="55" t="s">
        <v>42</v>
      </c>
      <c r="B54" s="61">
        <f>B47/B41</f>
        <v>0.007961783439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14.13"/>
    <col customWidth="1" min="3" max="4" width="15.13"/>
    <col customWidth="1" min="5" max="5" width="18.38"/>
    <col customWidth="1" min="6" max="6" width="21.75"/>
    <col customWidth="1" min="7" max="7" width="17.38"/>
    <col customWidth="1" min="8" max="8" width="13.63"/>
    <col customWidth="1" min="9" max="9" width="16.75"/>
    <col customWidth="1" min="10" max="10" width="17.38"/>
    <col customWidth="1" min="11" max="12" width="20.13"/>
    <col customWidth="1" min="13" max="13" width="12.5"/>
    <col customWidth="1" min="14" max="14" width="14.38"/>
    <col customWidth="1" min="15" max="16" width="17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43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44</v>
      </c>
      <c r="M1" s="7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2" t="s">
        <v>17</v>
      </c>
      <c r="S1" s="13" t="s">
        <v>18</v>
      </c>
      <c r="T1" s="14" t="s">
        <v>19</v>
      </c>
      <c r="U1" s="15" t="s">
        <v>20</v>
      </c>
    </row>
    <row r="2">
      <c r="A2" s="62" t="s">
        <v>45</v>
      </c>
      <c r="B2" s="17">
        <v>842.0</v>
      </c>
      <c r="C2" s="18">
        <f t="shared" ref="C2:C5" si="1">O2/B2</f>
        <v>0.8313539192</v>
      </c>
      <c r="D2" s="63">
        <v>230.0</v>
      </c>
      <c r="E2" s="64">
        <f t="shared" ref="E2:E5" si="2">P2/D2</f>
        <v>3.043478261</v>
      </c>
      <c r="F2" s="64">
        <f t="shared" ref="F2:F5" si="3">Q2/D2</f>
        <v>8.695652174</v>
      </c>
      <c r="G2" s="21">
        <v>32.0</v>
      </c>
      <c r="H2" s="22">
        <f t="shared" ref="H2:H5" si="4">O2/G2</f>
        <v>21.875</v>
      </c>
      <c r="I2" s="65">
        <f t="shared" ref="I2:I5" si="5">Q2/G2</f>
        <v>62.5</v>
      </c>
      <c r="J2" s="23">
        <v>10.0</v>
      </c>
      <c r="K2" s="24">
        <f t="shared" ref="K2:K5" si="6">O2/J2</f>
        <v>70</v>
      </c>
      <c r="L2" s="66">
        <f t="shared" ref="L2:L5" si="7">Q2/J2</f>
        <v>200</v>
      </c>
      <c r="M2" s="25">
        <v>1.0</v>
      </c>
      <c r="N2" s="26">
        <f t="shared" ref="N2:N5" si="8">O2/M2</f>
        <v>700</v>
      </c>
      <c r="O2" s="27">
        <v>700.0</v>
      </c>
      <c r="P2" s="28">
        <f t="shared" ref="P2:P5" si="9">O2</f>
        <v>700</v>
      </c>
      <c r="Q2" s="29">
        <v>2000.0</v>
      </c>
      <c r="R2" s="30">
        <f t="shared" ref="R2:R5" si="10">Q2*0.039</f>
        <v>78</v>
      </c>
      <c r="S2" s="26">
        <v>0.0</v>
      </c>
      <c r="T2" s="31">
        <f t="shared" ref="T2:T5" si="11">Q2-P2-R2</f>
        <v>1222</v>
      </c>
      <c r="U2" s="32">
        <f t="shared" ref="U2:U5" si="12">(Q2-O2)/(O2)</f>
        <v>1.857142857</v>
      </c>
    </row>
    <row r="3">
      <c r="A3" s="62" t="s">
        <v>46</v>
      </c>
      <c r="B3" s="17">
        <v>900.0</v>
      </c>
      <c r="C3" s="18">
        <f t="shared" si="1"/>
        <v>0.9444444444</v>
      </c>
      <c r="D3" s="63">
        <v>280.0</v>
      </c>
      <c r="E3" s="64">
        <f t="shared" si="2"/>
        <v>3.035714286</v>
      </c>
      <c r="F3" s="64">
        <f t="shared" si="3"/>
        <v>21.42857143</v>
      </c>
      <c r="G3" s="21">
        <v>401.0</v>
      </c>
      <c r="H3" s="22">
        <f t="shared" si="4"/>
        <v>2.119700748</v>
      </c>
      <c r="I3" s="65">
        <f t="shared" si="5"/>
        <v>14.96259352</v>
      </c>
      <c r="J3" s="23">
        <v>13.0</v>
      </c>
      <c r="K3" s="24">
        <f t="shared" si="6"/>
        <v>65.38461538</v>
      </c>
      <c r="L3" s="66">
        <f t="shared" si="7"/>
        <v>461.5384615</v>
      </c>
      <c r="M3" s="25">
        <v>3.0</v>
      </c>
      <c r="N3" s="26">
        <f t="shared" si="8"/>
        <v>283.3333333</v>
      </c>
      <c r="O3" s="27">
        <v>850.0</v>
      </c>
      <c r="P3" s="28">
        <f t="shared" si="9"/>
        <v>850</v>
      </c>
      <c r="Q3" s="29">
        <v>6000.0</v>
      </c>
      <c r="R3" s="30">
        <f t="shared" si="10"/>
        <v>234</v>
      </c>
      <c r="S3" s="26">
        <v>0.0</v>
      </c>
      <c r="T3" s="31">
        <f t="shared" si="11"/>
        <v>4916</v>
      </c>
      <c r="U3" s="32">
        <f t="shared" si="12"/>
        <v>6.058823529</v>
      </c>
    </row>
    <row r="4">
      <c r="A4" s="62" t="s">
        <v>47</v>
      </c>
      <c r="B4" s="17">
        <v>705.0</v>
      </c>
      <c r="C4" s="18">
        <f t="shared" si="1"/>
        <v>1.304964539</v>
      </c>
      <c r="D4" s="63">
        <v>240.0</v>
      </c>
      <c r="E4" s="64">
        <f t="shared" si="2"/>
        <v>3.833333333</v>
      </c>
      <c r="F4" s="64">
        <f t="shared" si="3"/>
        <v>25</v>
      </c>
      <c r="G4" s="21">
        <v>202.0</v>
      </c>
      <c r="H4" s="22">
        <f t="shared" si="4"/>
        <v>4.554455446</v>
      </c>
      <c r="I4" s="65">
        <f t="shared" si="5"/>
        <v>29.7029703</v>
      </c>
      <c r="J4" s="23">
        <v>12.0</v>
      </c>
      <c r="K4" s="24">
        <f t="shared" si="6"/>
        <v>76.66666667</v>
      </c>
      <c r="L4" s="66">
        <f t="shared" si="7"/>
        <v>500</v>
      </c>
      <c r="M4" s="25">
        <v>3.0</v>
      </c>
      <c r="N4" s="26">
        <f t="shared" si="8"/>
        <v>306.6666667</v>
      </c>
      <c r="O4" s="27">
        <v>920.0</v>
      </c>
      <c r="P4" s="28">
        <f t="shared" si="9"/>
        <v>920</v>
      </c>
      <c r="Q4" s="29">
        <v>6000.0</v>
      </c>
      <c r="R4" s="30">
        <f t="shared" si="10"/>
        <v>234</v>
      </c>
      <c r="S4" s="26">
        <v>0.0</v>
      </c>
      <c r="T4" s="31">
        <f t="shared" si="11"/>
        <v>4846</v>
      </c>
      <c r="U4" s="32">
        <f t="shared" si="12"/>
        <v>5.52173913</v>
      </c>
    </row>
    <row r="5">
      <c r="A5" s="62" t="s">
        <v>48</v>
      </c>
      <c r="B5" s="17">
        <v>555.0</v>
      </c>
      <c r="C5" s="18">
        <f t="shared" si="1"/>
        <v>2.702702703</v>
      </c>
      <c r="D5" s="63">
        <v>220.0</v>
      </c>
      <c r="E5" s="64">
        <f t="shared" si="2"/>
        <v>6.818181818</v>
      </c>
      <c r="F5" s="64">
        <f t="shared" si="3"/>
        <v>36.36363636</v>
      </c>
      <c r="G5" s="21">
        <v>596.0</v>
      </c>
      <c r="H5" s="22">
        <f t="shared" si="4"/>
        <v>2.516778523</v>
      </c>
      <c r="I5" s="65">
        <f t="shared" si="5"/>
        <v>13.42281879</v>
      </c>
      <c r="J5" s="23">
        <v>19.0</v>
      </c>
      <c r="K5" s="24">
        <f t="shared" si="6"/>
        <v>78.94736842</v>
      </c>
      <c r="L5" s="66">
        <f t="shared" si="7"/>
        <v>421.0526316</v>
      </c>
      <c r="M5" s="25">
        <v>4.0</v>
      </c>
      <c r="N5" s="26">
        <f t="shared" si="8"/>
        <v>375</v>
      </c>
      <c r="O5" s="27">
        <v>1500.0</v>
      </c>
      <c r="P5" s="28">
        <f t="shared" si="9"/>
        <v>1500</v>
      </c>
      <c r="Q5" s="29">
        <v>8000.0</v>
      </c>
      <c r="R5" s="30">
        <f t="shared" si="10"/>
        <v>312</v>
      </c>
      <c r="S5" s="26">
        <v>0.0</v>
      </c>
      <c r="T5" s="31">
        <f t="shared" si="11"/>
        <v>6188</v>
      </c>
      <c r="U5" s="32">
        <f t="shared" si="12"/>
        <v>4.333333333</v>
      </c>
    </row>
    <row r="6">
      <c r="A6" s="40" t="s">
        <v>21</v>
      </c>
      <c r="B6" s="41">
        <f>SUM(B2:B5)</f>
        <v>3002</v>
      </c>
      <c r="C6" s="67">
        <f>AVERAGE(C2:C5)</f>
        <v>1.445866401</v>
      </c>
      <c r="D6" s="42">
        <f>SUM(D2:D5)</f>
        <v>970</v>
      </c>
      <c r="E6" s="68">
        <f t="shared" ref="E6:F6" si="13">AVERAGE(E2:E5)</f>
        <v>4.182676925</v>
      </c>
      <c r="F6" s="68">
        <f t="shared" si="13"/>
        <v>22.87196499</v>
      </c>
      <c r="G6" s="43">
        <f>SUM(G2:G5)</f>
        <v>1231</v>
      </c>
      <c r="H6" s="44">
        <f t="shared" ref="H6:I6" si="14">AVERAGE(H2:H5)</f>
        <v>7.766483679</v>
      </c>
      <c r="I6" s="44">
        <f t="shared" si="14"/>
        <v>30.14709565</v>
      </c>
      <c r="J6" s="45">
        <f>SUM(J2:J5)</f>
        <v>54</v>
      </c>
      <c r="K6" s="69">
        <f t="shared" ref="K6:L6" si="15">AVERAGE(K2:K5)</f>
        <v>72.74966262</v>
      </c>
      <c r="L6" s="70">
        <f t="shared" si="15"/>
        <v>395.6477733</v>
      </c>
      <c r="M6" s="46">
        <f>SUM(M2:M5)</f>
        <v>11</v>
      </c>
      <c r="N6" s="51">
        <f>AVERAGE(N2:N5)</f>
        <v>416.25</v>
      </c>
      <c r="O6" s="47">
        <f t="shared" ref="O6:T6" si="16">SUM(O2:O5)</f>
        <v>3970</v>
      </c>
      <c r="P6" s="48">
        <f t="shared" si="16"/>
        <v>3970</v>
      </c>
      <c r="Q6" s="49">
        <f t="shared" si="16"/>
        <v>22000</v>
      </c>
      <c r="R6" s="50">
        <f t="shared" si="16"/>
        <v>858</v>
      </c>
      <c r="S6" s="51">
        <f t="shared" si="16"/>
        <v>0</v>
      </c>
      <c r="T6" s="52">
        <f t="shared" si="16"/>
        <v>17172</v>
      </c>
      <c r="U6" s="53">
        <f>AVERAGE(U2:U5)</f>
        <v>4.442759713</v>
      </c>
    </row>
    <row r="8">
      <c r="A8" s="1" t="s">
        <v>0</v>
      </c>
      <c r="B8" s="2" t="s">
        <v>1</v>
      </c>
      <c r="C8" s="3" t="s">
        <v>2</v>
      </c>
      <c r="D8" s="4" t="s">
        <v>3</v>
      </c>
      <c r="E8" s="4" t="s">
        <v>4</v>
      </c>
      <c r="F8" s="4" t="s">
        <v>5</v>
      </c>
      <c r="G8" s="5" t="s">
        <v>49</v>
      </c>
      <c r="H8" s="71" t="s">
        <v>50</v>
      </c>
      <c r="I8" s="5" t="s">
        <v>51</v>
      </c>
      <c r="J8" s="6" t="s">
        <v>9</v>
      </c>
      <c r="K8" s="6" t="s">
        <v>10</v>
      </c>
      <c r="L8" s="6" t="s">
        <v>44</v>
      </c>
      <c r="M8" s="7" t="s">
        <v>12</v>
      </c>
      <c r="N8" s="8" t="s">
        <v>13</v>
      </c>
      <c r="O8" s="9" t="s">
        <v>14</v>
      </c>
      <c r="P8" s="10" t="s">
        <v>15</v>
      </c>
      <c r="Q8" s="11" t="s">
        <v>16</v>
      </c>
      <c r="R8" s="12" t="s">
        <v>17</v>
      </c>
      <c r="S8" s="13" t="s">
        <v>18</v>
      </c>
      <c r="T8" s="14" t="s">
        <v>19</v>
      </c>
      <c r="U8" s="15" t="s">
        <v>20</v>
      </c>
    </row>
    <row r="9">
      <c r="A9" s="62" t="s">
        <v>52</v>
      </c>
      <c r="B9" s="17">
        <v>489.0</v>
      </c>
      <c r="C9" s="18">
        <f t="shared" ref="C9:C12" si="17">O9/B9</f>
        <v>1.533742331</v>
      </c>
      <c r="D9" s="63">
        <v>200.0</v>
      </c>
      <c r="E9" s="64">
        <f t="shared" ref="E9:E12" si="18">P9/D9</f>
        <v>3.75</v>
      </c>
      <c r="F9" s="64">
        <f t="shared" ref="F9:F12" si="19">Q9/D9</f>
        <v>20</v>
      </c>
      <c r="G9" s="21">
        <v>301.0</v>
      </c>
      <c r="H9" s="22">
        <f t="shared" ref="H9:H12" si="20">O9/G9</f>
        <v>2.491694352</v>
      </c>
      <c r="I9" s="65">
        <f t="shared" ref="I9:I12" si="21">Q9/G9</f>
        <v>13.28903654</v>
      </c>
      <c r="J9" s="23">
        <v>8.0</v>
      </c>
      <c r="K9" s="24">
        <f t="shared" ref="K9:K12" si="22">O9/J9</f>
        <v>93.75</v>
      </c>
      <c r="L9" s="66">
        <f t="shared" ref="L9:L12" si="23">Q9/J9</f>
        <v>500</v>
      </c>
      <c r="M9" s="25">
        <v>2.0</v>
      </c>
      <c r="N9" s="26">
        <f t="shared" ref="N9:N12" si="24">O9/M9</f>
        <v>375</v>
      </c>
      <c r="O9" s="27">
        <v>750.0</v>
      </c>
      <c r="P9" s="28">
        <f t="shared" ref="P9:P12" si="25">O9</f>
        <v>750</v>
      </c>
      <c r="Q9" s="29">
        <v>4000.0</v>
      </c>
      <c r="R9" s="30">
        <f t="shared" ref="R9:R12" si="26">Q9*0.039</f>
        <v>156</v>
      </c>
      <c r="S9" s="26">
        <v>0.0</v>
      </c>
      <c r="T9" s="31">
        <f t="shared" ref="T9:T12" si="27">Q9-P9-R9</f>
        <v>3094</v>
      </c>
      <c r="U9" s="32">
        <f t="shared" ref="U9:U12" si="28">(Q9-O9)/(O9)</f>
        <v>4.333333333</v>
      </c>
    </row>
    <row r="10">
      <c r="A10" s="62" t="s">
        <v>53</v>
      </c>
      <c r="B10" s="17">
        <v>703.0</v>
      </c>
      <c r="C10" s="18">
        <f t="shared" si="17"/>
        <v>1.137980085</v>
      </c>
      <c r="D10" s="63">
        <v>190.0</v>
      </c>
      <c r="E10" s="64">
        <f t="shared" si="18"/>
        <v>4.210526316</v>
      </c>
      <c r="F10" s="64">
        <f t="shared" si="19"/>
        <v>42.10526316</v>
      </c>
      <c r="G10" s="21">
        <v>444.0</v>
      </c>
      <c r="H10" s="22">
        <f t="shared" si="20"/>
        <v>1.801801802</v>
      </c>
      <c r="I10" s="65">
        <f t="shared" si="21"/>
        <v>18.01801802</v>
      </c>
      <c r="J10" s="23">
        <v>19.0</v>
      </c>
      <c r="K10" s="24">
        <f t="shared" si="22"/>
        <v>42.10526316</v>
      </c>
      <c r="L10" s="66">
        <f t="shared" si="23"/>
        <v>421.0526316</v>
      </c>
      <c r="M10" s="25">
        <v>4.0</v>
      </c>
      <c r="N10" s="26">
        <f t="shared" si="24"/>
        <v>200</v>
      </c>
      <c r="O10" s="27">
        <v>800.0</v>
      </c>
      <c r="P10" s="28">
        <f t="shared" si="25"/>
        <v>800</v>
      </c>
      <c r="Q10" s="29">
        <v>8000.0</v>
      </c>
      <c r="R10" s="30">
        <f t="shared" si="26"/>
        <v>312</v>
      </c>
      <c r="S10" s="26">
        <v>0.0</v>
      </c>
      <c r="T10" s="31">
        <f t="shared" si="27"/>
        <v>6888</v>
      </c>
      <c r="U10" s="32">
        <f t="shared" si="28"/>
        <v>9</v>
      </c>
    </row>
    <row r="11">
      <c r="A11" s="62" t="s">
        <v>54</v>
      </c>
      <c r="B11" s="17">
        <v>663.0</v>
      </c>
      <c r="C11" s="18">
        <f t="shared" si="17"/>
        <v>1.50678733</v>
      </c>
      <c r="D11" s="63">
        <v>180.0</v>
      </c>
      <c r="E11" s="64">
        <f t="shared" si="18"/>
        <v>5.55</v>
      </c>
      <c r="F11" s="64">
        <f t="shared" si="19"/>
        <v>22.22222222</v>
      </c>
      <c r="G11" s="21">
        <v>203.0</v>
      </c>
      <c r="H11" s="22">
        <f t="shared" si="20"/>
        <v>4.921182266</v>
      </c>
      <c r="I11" s="65">
        <f t="shared" si="21"/>
        <v>19.7044335</v>
      </c>
      <c r="J11" s="23">
        <v>9.0</v>
      </c>
      <c r="K11" s="24">
        <f t="shared" si="22"/>
        <v>111</v>
      </c>
      <c r="L11" s="66">
        <f t="shared" si="23"/>
        <v>444.4444444</v>
      </c>
      <c r="M11" s="25">
        <v>2.0</v>
      </c>
      <c r="N11" s="26">
        <f t="shared" si="24"/>
        <v>499.5</v>
      </c>
      <c r="O11" s="27">
        <v>999.0</v>
      </c>
      <c r="P11" s="28">
        <f t="shared" si="25"/>
        <v>999</v>
      </c>
      <c r="Q11" s="29">
        <v>4000.0</v>
      </c>
      <c r="R11" s="30">
        <f t="shared" si="26"/>
        <v>156</v>
      </c>
      <c r="S11" s="26">
        <v>0.0</v>
      </c>
      <c r="T11" s="31">
        <f t="shared" si="27"/>
        <v>2845</v>
      </c>
      <c r="U11" s="32">
        <f t="shared" si="28"/>
        <v>3.004004004</v>
      </c>
    </row>
    <row r="12">
      <c r="A12" s="62" t="s">
        <v>55</v>
      </c>
      <c r="B12" s="17">
        <v>1222.0</v>
      </c>
      <c r="C12" s="18">
        <f t="shared" si="17"/>
        <v>1.636661211</v>
      </c>
      <c r="D12" s="63">
        <v>400.0</v>
      </c>
      <c r="E12" s="64">
        <f t="shared" si="18"/>
        <v>5</v>
      </c>
      <c r="F12" s="64">
        <f t="shared" si="19"/>
        <v>5</v>
      </c>
      <c r="G12" s="21">
        <v>555.0</v>
      </c>
      <c r="H12" s="22">
        <f t="shared" si="20"/>
        <v>3.603603604</v>
      </c>
      <c r="I12" s="65">
        <f t="shared" si="21"/>
        <v>3.603603604</v>
      </c>
      <c r="J12" s="23">
        <v>24.0</v>
      </c>
      <c r="K12" s="24">
        <f t="shared" si="22"/>
        <v>83.33333333</v>
      </c>
      <c r="L12" s="66">
        <f t="shared" si="23"/>
        <v>83.33333333</v>
      </c>
      <c r="M12" s="25">
        <v>1.0</v>
      </c>
      <c r="N12" s="26">
        <f t="shared" si="24"/>
        <v>2000</v>
      </c>
      <c r="O12" s="27">
        <v>2000.0</v>
      </c>
      <c r="P12" s="28">
        <f t="shared" si="25"/>
        <v>2000</v>
      </c>
      <c r="Q12" s="29">
        <v>2000.0</v>
      </c>
      <c r="R12" s="30">
        <f t="shared" si="26"/>
        <v>78</v>
      </c>
      <c r="S12" s="26">
        <v>0.0</v>
      </c>
      <c r="T12" s="31">
        <f t="shared" si="27"/>
        <v>-78</v>
      </c>
      <c r="U12" s="32">
        <f t="shared" si="28"/>
        <v>0</v>
      </c>
    </row>
    <row r="13">
      <c r="A13" s="40" t="s">
        <v>21</v>
      </c>
      <c r="B13" s="41">
        <f>SUM(B9:B12)</f>
        <v>3077</v>
      </c>
      <c r="C13" s="67">
        <f>AVERAGE(C9:C12)</f>
        <v>1.45379274</v>
      </c>
      <c r="D13" s="42">
        <f>SUM(D9:D12)</f>
        <v>970</v>
      </c>
      <c r="E13" s="68">
        <f t="shared" ref="E13:F13" si="29">AVERAGE(E9:E12)</f>
        <v>4.627631579</v>
      </c>
      <c r="F13" s="68">
        <f t="shared" si="29"/>
        <v>22.33187135</v>
      </c>
      <c r="G13" s="43">
        <f>SUM(G9:G12)</f>
        <v>1503</v>
      </c>
      <c r="H13" s="44">
        <f t="shared" ref="H13:I13" si="30">AVERAGE(H9:H12)</f>
        <v>3.204570506</v>
      </c>
      <c r="I13" s="44">
        <f t="shared" si="30"/>
        <v>13.65377292</v>
      </c>
      <c r="J13" s="45">
        <f>SUM(J9:J12)</f>
        <v>60</v>
      </c>
      <c r="K13" s="69">
        <f t="shared" ref="K13:L13" si="31">AVERAGE(K9:K12)</f>
        <v>82.54714912</v>
      </c>
      <c r="L13" s="70">
        <f t="shared" si="31"/>
        <v>362.2076023</v>
      </c>
      <c r="M13" s="46">
        <f>SUM(M9:M12)</f>
        <v>9</v>
      </c>
      <c r="N13" s="51">
        <f>AVERAGE(N9:N12)</f>
        <v>768.625</v>
      </c>
      <c r="O13" s="47">
        <f t="shared" ref="O13:T13" si="32">SUM(O9:O12)</f>
        <v>4549</v>
      </c>
      <c r="P13" s="48">
        <f t="shared" si="32"/>
        <v>4549</v>
      </c>
      <c r="Q13" s="49">
        <f t="shared" si="32"/>
        <v>18000</v>
      </c>
      <c r="R13" s="50">
        <f t="shared" si="32"/>
        <v>702</v>
      </c>
      <c r="S13" s="51">
        <f t="shared" si="32"/>
        <v>0</v>
      </c>
      <c r="T13" s="52">
        <f t="shared" si="32"/>
        <v>12749</v>
      </c>
      <c r="U13" s="53">
        <f>AVERAGE(U9:U12)</f>
        <v>4.084334334</v>
      </c>
    </row>
    <row r="15">
      <c r="A15" s="1" t="s">
        <v>0</v>
      </c>
      <c r="B15" s="2" t="s">
        <v>1</v>
      </c>
      <c r="C15" s="3" t="s">
        <v>2</v>
      </c>
      <c r="D15" s="4" t="s">
        <v>3</v>
      </c>
      <c r="E15" s="4" t="s">
        <v>4</v>
      </c>
      <c r="F15" s="4" t="s">
        <v>5</v>
      </c>
      <c r="G15" s="5" t="s">
        <v>49</v>
      </c>
      <c r="H15" s="71" t="s">
        <v>50</v>
      </c>
      <c r="I15" s="5" t="s">
        <v>51</v>
      </c>
      <c r="J15" s="6" t="s">
        <v>9</v>
      </c>
      <c r="K15" s="6" t="s">
        <v>10</v>
      </c>
      <c r="L15" s="6" t="s">
        <v>44</v>
      </c>
      <c r="M15" s="7" t="s">
        <v>12</v>
      </c>
      <c r="N15" s="8" t="s">
        <v>13</v>
      </c>
      <c r="O15" s="9" t="s">
        <v>14</v>
      </c>
      <c r="P15" s="10" t="s">
        <v>15</v>
      </c>
      <c r="Q15" s="11" t="s">
        <v>16</v>
      </c>
      <c r="R15" s="12" t="s">
        <v>17</v>
      </c>
      <c r="S15" s="13" t="s">
        <v>18</v>
      </c>
      <c r="T15" s="14" t="s">
        <v>19</v>
      </c>
      <c r="U15" s="15" t="s">
        <v>20</v>
      </c>
    </row>
    <row r="16">
      <c r="A16" s="62" t="s">
        <v>56</v>
      </c>
      <c r="B16" s="17">
        <v>490.0</v>
      </c>
      <c r="C16" s="18">
        <f t="shared" ref="C16:C19" si="33">O16/B16</f>
        <v>2.448979592</v>
      </c>
      <c r="D16" s="63">
        <v>360.0</v>
      </c>
      <c r="E16" s="64">
        <f t="shared" ref="E16:E19" si="34">P16/D16</f>
        <v>3.333333333</v>
      </c>
      <c r="F16" s="64">
        <f t="shared" ref="F16:F19" si="35">Q16/D16</f>
        <v>27.77777778</v>
      </c>
      <c r="G16" s="21">
        <v>444.0</v>
      </c>
      <c r="H16" s="22">
        <f t="shared" ref="H16:H19" si="36">O16/G16</f>
        <v>2.702702703</v>
      </c>
      <c r="I16" s="65">
        <f t="shared" ref="I16:I19" si="37">Q16/G16</f>
        <v>22.52252252</v>
      </c>
      <c r="J16" s="23">
        <v>15.0</v>
      </c>
      <c r="K16" s="24">
        <f t="shared" ref="K16:K19" si="38">O16/J16</f>
        <v>80</v>
      </c>
      <c r="L16" s="66">
        <f t="shared" ref="L16:L19" si="39">Q16/J16</f>
        <v>666.6666667</v>
      </c>
      <c r="M16" s="25">
        <v>5.0</v>
      </c>
      <c r="N16" s="26">
        <f t="shared" ref="N16:N19" si="40">O16/M16</f>
        <v>240</v>
      </c>
      <c r="O16" s="27">
        <v>1200.0</v>
      </c>
      <c r="P16" s="28">
        <f t="shared" ref="P16:P19" si="41">O16</f>
        <v>1200</v>
      </c>
      <c r="Q16" s="29">
        <v>10000.0</v>
      </c>
      <c r="R16" s="30">
        <f t="shared" ref="R16:R19" si="42">Q16*0.039</f>
        <v>390</v>
      </c>
      <c r="S16" s="26">
        <v>0.0</v>
      </c>
      <c r="T16" s="31">
        <f t="shared" ref="T16:T19" si="43">Q16-P16-R16</f>
        <v>8410</v>
      </c>
      <c r="U16" s="32">
        <f t="shared" ref="U16:U19" si="44">(Q16-O16)/(O16)</f>
        <v>7.333333333</v>
      </c>
    </row>
    <row r="17">
      <c r="A17" s="62" t="s">
        <v>57</v>
      </c>
      <c r="B17" s="17">
        <v>801.0</v>
      </c>
      <c r="C17" s="18">
        <f t="shared" si="33"/>
        <v>1.373283396</v>
      </c>
      <c r="D17" s="63">
        <v>390.0</v>
      </c>
      <c r="E17" s="64">
        <f t="shared" si="34"/>
        <v>2.820512821</v>
      </c>
      <c r="F17" s="64">
        <f t="shared" si="35"/>
        <v>10.25641026</v>
      </c>
      <c r="G17" s="21">
        <v>599.0</v>
      </c>
      <c r="H17" s="22">
        <f t="shared" si="36"/>
        <v>1.83639399</v>
      </c>
      <c r="I17" s="65">
        <f t="shared" si="37"/>
        <v>6.677796327</v>
      </c>
      <c r="J17" s="23">
        <v>18.0</v>
      </c>
      <c r="K17" s="24">
        <f t="shared" si="38"/>
        <v>61.11111111</v>
      </c>
      <c r="L17" s="66">
        <f t="shared" si="39"/>
        <v>222.2222222</v>
      </c>
      <c r="M17" s="25">
        <v>2.0</v>
      </c>
      <c r="N17" s="26">
        <f t="shared" si="40"/>
        <v>550</v>
      </c>
      <c r="O17" s="27">
        <v>1100.0</v>
      </c>
      <c r="P17" s="28">
        <f t="shared" si="41"/>
        <v>1100</v>
      </c>
      <c r="Q17" s="29">
        <v>4000.0</v>
      </c>
      <c r="R17" s="30">
        <f t="shared" si="42"/>
        <v>156</v>
      </c>
      <c r="S17" s="26">
        <v>0.0</v>
      </c>
      <c r="T17" s="31">
        <f t="shared" si="43"/>
        <v>2744</v>
      </c>
      <c r="U17" s="32">
        <f t="shared" si="44"/>
        <v>2.636363636</v>
      </c>
    </row>
    <row r="18">
      <c r="A18" s="62" t="s">
        <v>58</v>
      </c>
      <c r="B18" s="17">
        <v>888.0</v>
      </c>
      <c r="C18" s="18">
        <f t="shared" si="33"/>
        <v>4.504504505</v>
      </c>
      <c r="D18" s="63">
        <v>880.0</v>
      </c>
      <c r="E18" s="64">
        <f t="shared" si="34"/>
        <v>4.545454545</v>
      </c>
      <c r="F18" s="64">
        <f t="shared" si="35"/>
        <v>6.818181818</v>
      </c>
      <c r="G18" s="21">
        <v>180.0</v>
      </c>
      <c r="H18" s="22">
        <f t="shared" si="36"/>
        <v>22.22222222</v>
      </c>
      <c r="I18" s="65">
        <f t="shared" si="37"/>
        <v>33.33333333</v>
      </c>
      <c r="J18" s="23">
        <v>13.0</v>
      </c>
      <c r="K18" s="24">
        <f t="shared" si="38"/>
        <v>307.6923077</v>
      </c>
      <c r="L18" s="66">
        <f t="shared" si="39"/>
        <v>461.5384615</v>
      </c>
      <c r="M18" s="25">
        <v>3.0</v>
      </c>
      <c r="N18" s="26">
        <f t="shared" si="40"/>
        <v>1333.333333</v>
      </c>
      <c r="O18" s="27">
        <v>4000.0</v>
      </c>
      <c r="P18" s="28">
        <f t="shared" si="41"/>
        <v>4000</v>
      </c>
      <c r="Q18" s="29">
        <v>6000.0</v>
      </c>
      <c r="R18" s="30">
        <f t="shared" si="42"/>
        <v>234</v>
      </c>
      <c r="S18" s="26">
        <v>0.0</v>
      </c>
      <c r="T18" s="31">
        <f t="shared" si="43"/>
        <v>1766</v>
      </c>
      <c r="U18" s="32">
        <f t="shared" si="44"/>
        <v>0.5</v>
      </c>
    </row>
    <row r="19">
      <c r="A19" s="62" t="s">
        <v>59</v>
      </c>
      <c r="B19" s="17">
        <v>1030.0</v>
      </c>
      <c r="C19" s="18">
        <f t="shared" si="33"/>
        <v>2.912621359</v>
      </c>
      <c r="D19" s="63">
        <v>832.0</v>
      </c>
      <c r="E19" s="64">
        <f t="shared" si="34"/>
        <v>3.605769231</v>
      </c>
      <c r="F19" s="64">
        <f t="shared" si="35"/>
        <v>7.211538462</v>
      </c>
      <c r="G19" s="21">
        <v>889.0</v>
      </c>
      <c r="H19" s="22">
        <f t="shared" si="36"/>
        <v>3.374578178</v>
      </c>
      <c r="I19" s="65">
        <f t="shared" si="37"/>
        <v>6.749156355</v>
      </c>
      <c r="J19" s="23">
        <v>14.0</v>
      </c>
      <c r="K19" s="24">
        <f t="shared" si="38"/>
        <v>214.2857143</v>
      </c>
      <c r="L19" s="66">
        <f t="shared" si="39"/>
        <v>428.5714286</v>
      </c>
      <c r="M19" s="25">
        <v>3.0</v>
      </c>
      <c r="N19" s="26">
        <f t="shared" si="40"/>
        <v>1000</v>
      </c>
      <c r="O19" s="27">
        <v>3000.0</v>
      </c>
      <c r="P19" s="28">
        <f t="shared" si="41"/>
        <v>3000</v>
      </c>
      <c r="Q19" s="29">
        <v>6000.0</v>
      </c>
      <c r="R19" s="30">
        <f t="shared" si="42"/>
        <v>234</v>
      </c>
      <c r="S19" s="26">
        <v>0.0</v>
      </c>
      <c r="T19" s="31">
        <f t="shared" si="43"/>
        <v>2766</v>
      </c>
      <c r="U19" s="32">
        <f t="shared" si="44"/>
        <v>1</v>
      </c>
    </row>
    <row r="20">
      <c r="A20" s="40" t="s">
        <v>21</v>
      </c>
      <c r="B20" s="41">
        <f>SUM(B16:B19)</f>
        <v>3209</v>
      </c>
      <c r="C20" s="67">
        <f>AVERAGE(C16:C19)</f>
        <v>2.809847213</v>
      </c>
      <c r="D20" s="42">
        <f>SUM(D16:D19)</f>
        <v>2462</v>
      </c>
      <c r="E20" s="68">
        <f t="shared" ref="E20:F20" si="45">AVERAGE(E16:E19)</f>
        <v>3.576267483</v>
      </c>
      <c r="F20" s="68">
        <f t="shared" si="45"/>
        <v>13.01597708</v>
      </c>
      <c r="G20" s="43">
        <f>SUM(G16:G19)</f>
        <v>2112</v>
      </c>
      <c r="H20" s="44">
        <f t="shared" ref="H20:I20" si="46">AVERAGE(H16:H19)</f>
        <v>7.533974273</v>
      </c>
      <c r="I20" s="44">
        <f t="shared" si="46"/>
        <v>17.32070213</v>
      </c>
      <c r="J20" s="45">
        <f>SUM(J16:J19)</f>
        <v>60</v>
      </c>
      <c r="K20" s="69">
        <f t="shared" ref="K20:L20" si="47">AVERAGE(K16:K19)</f>
        <v>165.7722833</v>
      </c>
      <c r="L20" s="70">
        <f t="shared" si="47"/>
        <v>444.7496947</v>
      </c>
      <c r="M20" s="46">
        <f>SUM(M16:M19)</f>
        <v>13</v>
      </c>
      <c r="N20" s="51">
        <f>AVERAGE(N16:N19)</f>
        <v>780.8333333</v>
      </c>
      <c r="O20" s="47">
        <f t="shared" ref="O20:T20" si="48">SUM(O16:O19)</f>
        <v>9300</v>
      </c>
      <c r="P20" s="48">
        <f t="shared" si="48"/>
        <v>9300</v>
      </c>
      <c r="Q20" s="49">
        <f t="shared" si="48"/>
        <v>26000</v>
      </c>
      <c r="R20" s="50">
        <f t="shared" si="48"/>
        <v>1014</v>
      </c>
      <c r="S20" s="51">
        <f t="shared" si="48"/>
        <v>0</v>
      </c>
      <c r="T20" s="52">
        <f t="shared" si="48"/>
        <v>15686</v>
      </c>
      <c r="U20" s="53">
        <f>AVERAGE(U16:U19)</f>
        <v>2.867424242</v>
      </c>
    </row>
    <row r="23">
      <c r="A23" s="54" t="s">
        <v>22</v>
      </c>
      <c r="B23" s="54" t="s">
        <v>23</v>
      </c>
    </row>
    <row r="24">
      <c r="A24" s="55" t="s">
        <v>24</v>
      </c>
      <c r="B24" s="56">
        <f>SUM(P6+P13+P20)</f>
        <v>17819</v>
      </c>
    </row>
    <row r="25">
      <c r="A25" s="55" t="s">
        <v>25</v>
      </c>
      <c r="B25" s="57">
        <f>Q6+Q13+Q20</f>
        <v>66000</v>
      </c>
    </row>
    <row r="26">
      <c r="A26" s="58" t="s">
        <v>26</v>
      </c>
      <c r="B26" s="72">
        <f>D6+D13+D20</f>
        <v>4402</v>
      </c>
    </row>
    <row r="27">
      <c r="A27" s="58" t="s">
        <v>27</v>
      </c>
      <c r="B27" s="57">
        <f>AVERAGE(E6,E13,E20)</f>
        <v>4.128858662</v>
      </c>
    </row>
    <row r="28">
      <c r="A28" s="58" t="s">
        <v>28</v>
      </c>
      <c r="B28" s="57">
        <f>AVERAGE(F6+F13+F20)</f>
        <v>58.21981342</v>
      </c>
    </row>
    <row r="29">
      <c r="A29" s="58" t="s">
        <v>29</v>
      </c>
      <c r="B29" s="59">
        <f>G6+G13+G20</f>
        <v>4846</v>
      </c>
    </row>
    <row r="30">
      <c r="A30" s="58" t="s">
        <v>30</v>
      </c>
      <c r="B30" s="56">
        <f>AVERAGE(H6,H13,H20)</f>
        <v>6.168342819</v>
      </c>
    </row>
    <row r="31">
      <c r="A31" s="58" t="s">
        <v>31</v>
      </c>
      <c r="B31" s="56">
        <f>B25/B29</f>
        <v>13.61947998</v>
      </c>
    </row>
    <row r="32">
      <c r="A32" s="58" t="s">
        <v>32</v>
      </c>
      <c r="B32" s="59">
        <f>J6+J13+J20</f>
        <v>174</v>
      </c>
    </row>
    <row r="33">
      <c r="A33" s="58" t="s">
        <v>33</v>
      </c>
      <c r="B33" s="56">
        <f>B24/B32</f>
        <v>102.408046</v>
      </c>
    </row>
    <row r="34">
      <c r="A34" s="58" t="s">
        <v>34</v>
      </c>
      <c r="B34" s="56">
        <f>B25/B32</f>
        <v>379.3103448</v>
      </c>
    </row>
    <row r="35">
      <c r="A35" s="55" t="s">
        <v>35</v>
      </c>
      <c r="B35" s="59">
        <f>M6+M13+M20</f>
        <v>33</v>
      </c>
    </row>
    <row r="36">
      <c r="A36" s="55" t="s">
        <v>36</v>
      </c>
      <c r="B36" s="56">
        <f>B24/B35</f>
        <v>539.969697</v>
      </c>
    </row>
    <row r="37">
      <c r="A37" s="55" t="s">
        <v>37</v>
      </c>
      <c r="B37" s="60">
        <v>0.0</v>
      </c>
    </row>
    <row r="38">
      <c r="A38" s="55" t="s">
        <v>38</v>
      </c>
      <c r="B38" s="56">
        <f>R6+R13+R20</f>
        <v>2574</v>
      </c>
    </row>
    <row r="39">
      <c r="A39" s="55" t="s">
        <v>39</v>
      </c>
      <c r="B39" s="56">
        <f>S6+S13+S20</f>
        <v>0</v>
      </c>
    </row>
    <row r="40">
      <c r="A40" s="55" t="s">
        <v>40</v>
      </c>
      <c r="B40" s="56">
        <f>T6+T13+T20</f>
        <v>45607</v>
      </c>
    </row>
    <row r="41">
      <c r="A41" s="55" t="s">
        <v>41</v>
      </c>
      <c r="B41" s="61">
        <f>AVERAGE(U6,U13,U20)</f>
        <v>3.798172763</v>
      </c>
    </row>
    <row r="42">
      <c r="A42" s="55" t="s">
        <v>42</v>
      </c>
      <c r="B42" s="61">
        <f>B35/B29</f>
        <v>0.006809739992</v>
      </c>
    </row>
  </sheetData>
  <drawing r:id="rId1"/>
</worksheet>
</file>