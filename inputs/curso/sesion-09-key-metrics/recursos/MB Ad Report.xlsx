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 1 - Sept 30" sheetId="1" r:id="rId5"/>
  </sheets>
  <definedNames/>
  <calcPr/>
</workbook>
</file>

<file path=xl/sharedStrings.xml><?xml version="1.0" encoding="utf-8"?>
<sst xmlns="http://schemas.openxmlformats.org/spreadsheetml/2006/main" count="13" uniqueCount="13">
  <si>
    <t>Metric</t>
  </si>
  <si>
    <t>Data</t>
  </si>
  <si>
    <t>Adspend</t>
  </si>
  <si>
    <t>Leads</t>
  </si>
  <si>
    <t>Cost Per Lead</t>
  </si>
  <si>
    <t>Revenue Per Lead</t>
  </si>
  <si>
    <t>Revenue</t>
  </si>
  <si>
    <t>Clients</t>
  </si>
  <si>
    <t>⁠Cost Per Client</t>
  </si>
  <si>
    <t>Revenue Per Client</t>
  </si>
  <si>
    <t>Lead To Client Conversion Rate</t>
  </si>
  <si>
    <t>Profit</t>
  </si>
  <si>
    <t>Funnel 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</si>
</sst>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6.13"/>
  </cols>
  <sheetData>
    <row r="1">
      <c r="A1" s="1" t="s">
        <v>0</v>
      </c>
      <c r="B1" s="1" t="s">
        <v>1</v>
      </c>
    </row>
    <row r="2">
      <c r="A2" s="2" t="s">
        <v>2</v>
      </c>
      <c r="B2" s="3">
        <v>50000.0</v>
      </c>
    </row>
    <row r="3">
      <c r="A3" s="2" t="s">
        <v>3</v>
      </c>
      <c r="B3" s="4">
        <v>11764.0</v>
      </c>
    </row>
    <row r="4">
      <c r="A4" s="2" t="s">
        <v>4</v>
      </c>
      <c r="B4" s="3">
        <f>B2/B3</f>
        <v>4.250255015</v>
      </c>
    </row>
    <row r="5">
      <c r="A5" s="2" t="s">
        <v>5</v>
      </c>
      <c r="B5" s="3">
        <f>B6/B3</f>
        <v>20</v>
      </c>
    </row>
    <row r="6">
      <c r="A6" s="2" t="s">
        <v>6</v>
      </c>
      <c r="B6" s="5">
        <f>B7*B9</f>
        <v>235280</v>
      </c>
    </row>
    <row r="7">
      <c r="A7" s="2" t="s">
        <v>7</v>
      </c>
      <c r="B7" s="4">
        <f>B3*B10</f>
        <v>117.64</v>
      </c>
    </row>
    <row r="8">
      <c r="A8" s="2" t="s">
        <v>8</v>
      </c>
      <c r="B8" s="3">
        <f>B2/B7</f>
        <v>425.0255015</v>
      </c>
    </row>
    <row r="9">
      <c r="A9" s="2" t="s">
        <v>9</v>
      </c>
      <c r="B9" s="5">
        <v>2000.0</v>
      </c>
    </row>
    <row r="10">
      <c r="A10" s="2" t="s">
        <v>10</v>
      </c>
      <c r="B10" s="6">
        <v>0.01</v>
      </c>
    </row>
    <row r="11">
      <c r="A11" s="2" t="s">
        <v>11</v>
      </c>
      <c r="B11" s="5">
        <f>B6-B2</f>
        <v>185280</v>
      </c>
    </row>
    <row r="12">
      <c r="A12" s="2" t="s">
        <v>12</v>
      </c>
      <c r="B12" s="6">
        <f>(B6-B2)/(B2)</f>
        <v>3.7056</v>
      </c>
    </row>
  </sheetData>
  <drawing r:id="rId1"/>
</worksheet>
</file>